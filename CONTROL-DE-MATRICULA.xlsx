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DIMIENTOS" sheetId="1" r:id="rId5"/>
    <sheet state="visible" name="ECOGRAFIA 1" sheetId="2" r:id="rId6"/>
    <sheet state="visible" name="TRAUMA 1" sheetId="3" r:id="rId7"/>
    <sheet state="visible" name="OBSTETRICIA 1" sheetId="4" r:id="rId8"/>
    <sheet state="visible" name="C. ENFERMERIA " sheetId="5" r:id="rId9"/>
  </sheets>
  <definedNames/>
  <calcPr/>
</workbook>
</file>

<file path=xl/sharedStrings.xml><?xml version="1.0" encoding="utf-8"?>
<sst xmlns="http://schemas.openxmlformats.org/spreadsheetml/2006/main" count="470" uniqueCount="216">
  <si>
    <t>VALOR DE VENTA DELPROGRAMA</t>
  </si>
  <si>
    <t xml:space="preserve">MATRÍCULA </t>
  </si>
  <si>
    <t>MARZO (2026)</t>
  </si>
  <si>
    <t xml:space="preserve">ESTADO FINAL </t>
  </si>
  <si>
    <t>N°</t>
  </si>
  <si>
    <t>ASESOR INTERNO</t>
  </si>
  <si>
    <t>NOMBRES
COMPLETOS (EN MAYÚSCULAS)</t>
  </si>
  <si>
    <t>APELLIDOS
COMPLETOS (2 APELLIDOS EN MAYÚSCULAS)</t>
  </si>
  <si>
    <t>CÉDULA
EJEM. (0105031571)</t>
  </si>
  <si>
    <t>TELÉFONO
EJEM. (0988321840).</t>
  </si>
  <si>
    <t>CORREO ELECTRÓNICO</t>
  </si>
  <si>
    <t>¿REQUIERE FACTURACIÓN?</t>
  </si>
  <si>
    <t>CIUDAD DE
PRÁCTICAS</t>
  </si>
  <si>
    <t>ESTADO DE PLATAFORMA</t>
  </si>
  <si>
    <t xml:space="preserve">MATRICULA </t>
  </si>
  <si>
    <t xml:space="preserve">ULTIMA FECHA DE PAGO DE MATRICULA </t>
  </si>
  <si>
    <t>COMPROBANTE</t>
  </si>
  <si>
    <t xml:space="preserve">BANCO </t>
  </si>
  <si>
    <t xml:space="preserve">1 CUOTA </t>
  </si>
  <si>
    <t>FECHA</t>
  </si>
  <si>
    <t>FOTO</t>
  </si>
  <si>
    <t xml:space="preserve">CODIGOS DEL COMPROBANTE </t>
  </si>
  <si>
    <t>BANCO</t>
  </si>
  <si>
    <t xml:space="preserve">TOTAL </t>
  </si>
  <si>
    <t xml:space="preserve">FALTANTE </t>
  </si>
  <si>
    <t>SARAHI</t>
  </si>
  <si>
    <t>LISBETH MAGALY</t>
  </si>
  <si>
    <t>CHACHA CHACHA</t>
  </si>
  <si>
    <t xml:space="preserve">magaliz14@hotmail.com </t>
  </si>
  <si>
    <t>SI</t>
  </si>
  <si>
    <t>RIOBAMBA</t>
  </si>
  <si>
    <t>Matriculado</t>
  </si>
  <si>
    <t>PI</t>
  </si>
  <si>
    <t>MISHELL AGUIRRE</t>
  </si>
  <si>
    <t>PAOLA ALEJANDRA</t>
  </si>
  <si>
    <t>PILLAJO VINUEZA</t>
  </si>
  <si>
    <t>pao222922@gmail.com</t>
  </si>
  <si>
    <t>TC</t>
  </si>
  <si>
    <t xml:space="preserve">ALEXA SILVA </t>
  </si>
  <si>
    <t xml:space="preserve">DAYANNA SHAKIRA </t>
  </si>
  <si>
    <t>BENAVIDES CUEVA</t>
  </si>
  <si>
    <t>daya_0896@hotmail.com</t>
  </si>
  <si>
    <t>KIMBERLY NAYELI</t>
  </si>
  <si>
    <t>OBANDO SOTO</t>
  </si>
  <si>
    <t>kimberlyobando960@gmail.com</t>
  </si>
  <si>
    <t>EDILVANNY MARISOL</t>
  </si>
  <si>
    <t xml:space="preserve">CAGUANO CUDCO </t>
  </si>
  <si>
    <t>marisolcaguano2927@gmail.com</t>
  </si>
  <si>
    <t>CR</t>
  </si>
  <si>
    <t xml:space="preserve">DANIELA ELIZABETH </t>
  </si>
  <si>
    <t>INGUILLAY CALERO</t>
  </si>
  <si>
    <t>danielainguillay@gmail.com</t>
  </si>
  <si>
    <t>PAULO SEBASTIAN</t>
  </si>
  <si>
    <t>DELGADO PINCHAO</t>
  </si>
  <si>
    <t>⁠0402050595</t>
  </si>
  <si>
    <t>paulodelgado0107@gmail.com</t>
  </si>
  <si>
    <t>PV</t>
  </si>
  <si>
    <t xml:space="preserve">2 CUOTA </t>
  </si>
  <si>
    <t xml:space="preserve">3 CUOTA </t>
  </si>
  <si>
    <t>SARAÍ FLORES</t>
  </si>
  <si>
    <t xml:space="preserve">Walter Alejandro </t>
  </si>
  <si>
    <t>Jiménez Mendoza</t>
  </si>
  <si>
    <t>593 93 980 5426</t>
  </si>
  <si>
    <t>alexoto97@gmail.com</t>
  </si>
  <si>
    <t>DATALINK</t>
  </si>
  <si>
    <t xml:space="preserve">RIOBAMBA </t>
  </si>
  <si>
    <t>Alisson Stephanie</t>
  </si>
  <si>
    <t>Mendoza Tuarez</t>
  </si>
  <si>
    <t>allisson-mendozat2000@hotmail.com</t>
  </si>
  <si>
    <t>TRANSFERENCIA</t>
  </si>
  <si>
    <t>WENDY GISEL</t>
  </si>
  <si>
    <t>PACHACAMA OÑA</t>
  </si>
  <si>
    <t xml:space="preserve">wendygisel1117@gmail.com </t>
  </si>
  <si>
    <t>TRASFERENCIA</t>
  </si>
  <si>
    <t>JHONNY MARTINEZ</t>
  </si>
  <si>
    <t>RAMIRO SEBASTIÁN</t>
  </si>
  <si>
    <t>ROSERO BERMEO</t>
  </si>
  <si>
    <t xml:space="preserve">sebasrosero08@gmail.com </t>
  </si>
  <si>
    <t>EFECTIVO</t>
  </si>
  <si>
    <t>ALEX :D</t>
  </si>
  <si>
    <t>KELVIN ALEJANDRO</t>
  </si>
  <si>
    <t>BUSTILLO VITERI</t>
  </si>
  <si>
    <t xml:space="preserve">kelvinalejobv@gmail.com </t>
  </si>
  <si>
    <t>TARJETA</t>
  </si>
  <si>
    <t>YESENIA LONDO</t>
  </si>
  <si>
    <t>SILVIA DALILA</t>
  </si>
  <si>
    <t>CABRERA ALVAREZ</t>
  </si>
  <si>
    <t>dalila.chivita023@gmail.com</t>
  </si>
  <si>
    <t>MAYO</t>
  </si>
  <si>
    <t>JUNIO</t>
  </si>
  <si>
    <t>DAYSI LIZBETH</t>
  </si>
  <si>
    <t>MORETA CHICAIZA</t>
  </si>
  <si>
    <t>daysichicaiza1725@gmail.com</t>
  </si>
  <si>
    <t>MATRICULADO</t>
  </si>
  <si>
    <t>YESSENIA LONDO</t>
  </si>
  <si>
    <t xml:space="preserve">JORGE RUBEN </t>
  </si>
  <si>
    <t>MALDONADO SALTOS</t>
  </si>
  <si>
    <t>Jrubenms98@gmail.com</t>
  </si>
  <si>
    <t>GUAYAQUIL</t>
  </si>
  <si>
    <t>JOCELINE</t>
  </si>
  <si>
    <t xml:space="preserve">VANEGAS CÁRDENAS </t>
  </si>
  <si>
    <t>3avanegascardenas@gmail.com</t>
  </si>
  <si>
    <t xml:space="preserve">BORIS DANIEL </t>
  </si>
  <si>
    <t>VILLAMAR MACIAS</t>
  </si>
  <si>
    <t>kvillamil7@gmail.com</t>
  </si>
  <si>
    <t>ALVARO RODOLFO</t>
  </si>
  <si>
    <t>LAINEZ QUINDE</t>
  </si>
  <si>
    <t xml:space="preserve">alvarolainez_98@hotmail.com </t>
  </si>
  <si>
    <t>DE LA CRUZ LOZADA</t>
  </si>
  <si>
    <t>SHIRLEY PIERINA</t>
  </si>
  <si>
    <t>Shipidelo@gmail.com</t>
  </si>
  <si>
    <t>HERRERA DURAÑONES</t>
  </si>
  <si>
    <t>ROXANA AIMÉ</t>
  </si>
  <si>
    <t>roxanahd830@gmail.com</t>
  </si>
  <si>
    <t>MENA GARCIA</t>
  </si>
  <si>
    <t>JULITZA MYLEE</t>
  </si>
  <si>
    <t>julitzamylee29@gmail.com</t>
  </si>
  <si>
    <t>PEDRO DANIEL</t>
  </si>
  <si>
    <t>PLAZA BAZURITO</t>
  </si>
  <si>
    <t>pedrodbp284@gmail.com</t>
  </si>
  <si>
    <t>GUAYAQUIL-Riobamba</t>
  </si>
  <si>
    <t>JHONNY</t>
  </si>
  <si>
    <t>CLAUDIA JANETH</t>
  </si>
  <si>
    <t>SOTELO ARAUJO</t>
  </si>
  <si>
    <t>cjmechas@hotmail.com</t>
  </si>
  <si>
    <t>ANDREA LISBETH</t>
  </si>
  <si>
    <t>TORRES MERA</t>
  </si>
  <si>
    <t>andre17beth@hotmail.com</t>
  </si>
  <si>
    <t>ESTEBAN LEONARDO</t>
  </si>
  <si>
    <t>CORONEL COELLO</t>
  </si>
  <si>
    <t>teban3010999@gmail.com</t>
  </si>
  <si>
    <t xml:space="preserve">GUAYAQUIL </t>
  </si>
  <si>
    <t>YESENIA</t>
  </si>
  <si>
    <t>LEONELA MISHELLE</t>
  </si>
  <si>
    <t>PINCAY SALDARRIAGA</t>
  </si>
  <si>
    <t>Leonelapincay@hotmail.com</t>
  </si>
  <si>
    <t>ALE</t>
  </si>
  <si>
    <t>PRISCILLA LISSETH</t>
  </si>
  <si>
    <t>PONTON ESPINOZA</t>
  </si>
  <si>
    <t>priscilla_ponton@outlook.es</t>
  </si>
  <si>
    <t>EL ORO</t>
  </si>
  <si>
    <t>KARINA MARÍA</t>
  </si>
  <si>
    <t>DURÁN BALLÉN</t>
  </si>
  <si>
    <t>karinaduranballen17@gmail.com</t>
  </si>
  <si>
    <t xml:space="preserve">GRACE </t>
  </si>
  <si>
    <t xml:space="preserve">RUSBEL </t>
  </si>
  <si>
    <t>CRUZ SILVA</t>
  </si>
  <si>
    <t>drrusbelcruz@gmail.com</t>
  </si>
  <si>
    <t>QUITO</t>
  </si>
  <si>
    <t>HEIDY ROCÍO</t>
  </si>
  <si>
    <t>MARTÍNEZ BÁEZ</t>
  </si>
  <si>
    <t>heidy_exmajo@hotmail.com</t>
  </si>
  <si>
    <t xml:space="preserve">LUIS JOHNNY </t>
  </si>
  <si>
    <t>MENDOZA CHANGOBALIN</t>
  </si>
  <si>
    <t>johnnymendozachang@gmail.com</t>
  </si>
  <si>
    <t>SOLO EKG</t>
  </si>
  <si>
    <t>VIVIANA ESTEFANÍA</t>
  </si>
  <si>
    <t xml:space="preserve">RODRÍGUEZ GUERRA </t>
  </si>
  <si>
    <t>vivirodriguez2508@gmail.com</t>
  </si>
  <si>
    <t>NR</t>
  </si>
  <si>
    <t>ANDREA DEL CISNE</t>
  </si>
  <si>
    <t>APOLO CARDENAZ</t>
  </si>
  <si>
    <t>dra.andreaapolo@gmail.com</t>
  </si>
  <si>
    <t>CRISTEL VALERIA</t>
  </si>
  <si>
    <t>QUICHIMBO APONTE</t>
  </si>
  <si>
    <t>cristelvaleria1994@gmail.com</t>
  </si>
  <si>
    <t>JANNY LORENA</t>
  </si>
  <si>
    <t>QUINTERO QUINTERO</t>
  </si>
  <si>
    <t>jannyquintero@yahoo.es</t>
  </si>
  <si>
    <t xml:space="preserve">SARAI FLORES </t>
  </si>
  <si>
    <t>LUCRECIA MARIANA</t>
  </si>
  <si>
    <t xml:space="preserve">VALENCIA ALCÍVAR </t>
  </si>
  <si>
    <t>593 99 975 2370</t>
  </si>
  <si>
    <t>luky@hotmail.com</t>
  </si>
  <si>
    <t>ELENA DEL CARMEN</t>
  </si>
  <si>
    <t>ORELLANA TOLOZANO</t>
  </si>
  <si>
    <t>593 99 070 3645</t>
  </si>
  <si>
    <t>eleorellana19@hotmail.com</t>
  </si>
  <si>
    <t>19122026031114297442</t>
  </si>
  <si>
    <t xml:space="preserve">ALEX </t>
  </si>
  <si>
    <t xml:space="preserve">ANGEL AGUSTIN </t>
  </si>
  <si>
    <t xml:space="preserve">PONCE IZQUIERDO </t>
  </si>
  <si>
    <t>angelponce2016@outlook.com</t>
  </si>
  <si>
    <t>ALEXA SILVA</t>
  </si>
  <si>
    <t>DAVID ALEJANDRO</t>
  </si>
  <si>
    <t xml:space="preserve"> COLLAGUAZO CUENCA</t>
  </si>
  <si>
    <t>davalejo1019@gmail.com</t>
  </si>
  <si>
    <t xml:space="preserve">ASHLEY MAITTE </t>
  </si>
  <si>
    <t>VIDAL VELEZ</t>
  </si>
  <si>
    <t>maittevidal04@gmail.com</t>
  </si>
  <si>
    <t>JOHANA CAROLINA</t>
  </si>
  <si>
    <t xml:space="preserve">SANI CHICAIZA </t>
  </si>
  <si>
    <t xml:space="preserve">jhois.sani15@gmail.com </t>
  </si>
  <si>
    <t>KAREN ANAHI</t>
  </si>
  <si>
    <t>CHICO VISCAINO</t>
  </si>
  <si>
    <t>anakarenviscaino@gmail.com</t>
  </si>
  <si>
    <t>NELLY ESTHER</t>
  </si>
  <si>
    <t>GUAMAN QUINDE</t>
  </si>
  <si>
    <t>nellyesterguaman@hotmail.com</t>
  </si>
  <si>
    <t>CUENCA</t>
  </si>
  <si>
    <t xml:space="preserve">MARCIA ISABEL </t>
  </si>
  <si>
    <t>ORTEGA LÓPEZ</t>
  </si>
  <si>
    <t>marciaortega261@gmail.com</t>
  </si>
  <si>
    <t>LORENA ELIZABETH</t>
  </si>
  <si>
    <t>ROMERO NARVÁEZ</t>
  </si>
  <si>
    <t>elizabethromeron49@gmail.com</t>
  </si>
  <si>
    <t>VIRGINIA ESTEFANIA</t>
  </si>
  <si>
    <t>CUNO PILCO</t>
  </si>
  <si>
    <t>estefaniacuno1997@gmail.com</t>
  </si>
  <si>
    <t>AMBATO</t>
  </si>
  <si>
    <t>GABRIELA ALEXANDRA</t>
  </si>
  <si>
    <t xml:space="preserve"> PALACIOS PAEZ</t>
  </si>
  <si>
    <t xml:space="preserve">gpalaciospaez@gmail.com </t>
  </si>
  <si>
    <t xml:space="preserve">GABRIELA ESTHEFANIA </t>
  </si>
  <si>
    <t>ORTIZ VÁSQUEZ</t>
  </si>
  <si>
    <t>ortizgabrielab17@gmailcom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</si>
</sst>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.00"/>
    <numFmt numFmtId="165" formatCode="0000000000"/>
    <numFmt numFmtId="166" formatCode="dd/mm/yyyy"/>
    <numFmt numFmtId="167" formatCode="#,##0.00;(#,##0.00)"/>
  </numFmts>
  <fonts count="25">
    <font>
      <sz val="10.0"/>
      <color rgb="FF000000"/>
      <name val="Arial"/>
      <scheme val="minor"/>
    </font>
    <font>
      <b/>
      <sz val="14.0"/>
      <color rgb="FFFFFFFF"/>
      <name val="Montserrat"/>
    </font>
    <font/>
    <font>
      <color rgb="FFFFFFFF"/>
      <name val="Arial"/>
    </font>
    <font>
      <b/>
      <sz val="7.0"/>
      <color theme="1"/>
      <name val="Montserrat"/>
    </font>
    <font>
      <b/>
      <sz val="11.0"/>
      <color theme="1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b/>
      <sz val="10.0"/>
      <color theme="1"/>
      <name val="Arial"/>
    </font>
    <font>
      <color theme="1"/>
      <name val="Arial"/>
    </font>
    <font>
      <sz val="9.0"/>
      <color rgb="FF1F1F1F"/>
      <name val="Google Sans"/>
    </font>
    <font>
      <sz val="11.0"/>
      <color theme="1"/>
      <name val="Calibri"/>
    </font>
    <font>
      <b/>
      <sz val="14.0"/>
      <color theme="1"/>
      <name val="Lora"/>
    </font>
    <font>
      <color theme="1"/>
      <name val="Lora"/>
    </font>
    <font>
      <b/>
      <sz val="7.0"/>
      <color theme="1"/>
      <name val="Lora"/>
    </font>
    <font>
      <b/>
      <sz val="11.0"/>
      <color theme="1"/>
      <name val="Lora"/>
    </font>
    <font>
      <sz val="9.0"/>
      <color theme="1"/>
      <name val="Lora"/>
    </font>
    <font>
      <sz val="9.0"/>
      <color rgb="FF1F1F1F"/>
      <name val="Lora"/>
    </font>
    <font>
      <b/>
      <sz val="9.0"/>
      <color theme="1"/>
      <name val="Lora"/>
    </font>
    <font>
      <b/>
      <sz val="8.0"/>
      <color theme="1"/>
      <name val="Lora"/>
    </font>
    <font>
      <b/>
      <sz val="14.0"/>
      <color rgb="FFFFFFFF"/>
      <name val="Lora"/>
    </font>
    <font>
      <color rgb="FFFFFFFF"/>
      <name val="Lora"/>
    </font>
    <font>
      <b/>
      <sz val="10.0"/>
      <color theme="1"/>
      <name val="Lora"/>
    </font>
  </fonts>
  <fills count="10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9">
    <border/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wrapText="1"/>
    </xf>
    <xf borderId="1" fillId="0" fontId="2" numFmtId="0" xfId="0" applyBorder="1" applyFont="1"/>
    <xf borderId="1" fillId="2" fontId="3" numFmtId="49" xfId="0" applyBorder="1" applyFont="1" applyNumberFormat="1"/>
    <xf borderId="2" fillId="2" fontId="3" numFmtId="49" xfId="0" applyBorder="1" applyFont="1" applyNumberFormat="1"/>
    <xf borderId="3" fillId="2" fontId="1" numFmtId="164" xfId="0" applyAlignment="1" applyBorder="1" applyFont="1" applyNumberFormat="1">
      <alignment horizontal="center" shrinkToFit="0" wrapText="1"/>
    </xf>
    <xf borderId="2" fillId="0" fontId="2" numFmtId="0" xfId="0" applyBorder="1" applyFont="1"/>
    <xf borderId="4" fillId="2" fontId="1" numFmtId="164" xfId="0" applyAlignment="1" applyBorder="1" applyFont="1" applyNumberFormat="1">
      <alignment horizontal="center" readingOrder="0" shrinkToFit="0" wrapText="1"/>
    </xf>
    <xf borderId="4" fillId="0" fontId="2" numFmtId="0" xfId="0" applyBorder="1" applyFont="1"/>
    <xf borderId="5" fillId="0" fontId="2" numFmtId="0" xfId="0" applyBorder="1" applyFont="1"/>
    <xf borderId="6" fillId="2" fontId="1" numFmtId="164" xfId="0" applyAlignment="1" applyBorder="1" applyFont="1" applyNumberFormat="1">
      <alignment horizontal="center" shrinkToFit="0" wrapText="1"/>
    </xf>
    <xf borderId="7" fillId="0" fontId="2" numFmtId="0" xfId="0" applyBorder="1" applyFont="1"/>
    <xf borderId="8" fillId="3" fontId="4" numFmtId="49" xfId="0" applyAlignment="1" applyBorder="1" applyFill="1" applyFont="1" applyNumberFormat="1">
      <alignment horizontal="center" shrinkToFit="0" wrapText="1"/>
    </xf>
    <xf borderId="8" fillId="3" fontId="4" numFmtId="0" xfId="0" applyAlignment="1" applyBorder="1" applyFont="1">
      <alignment horizontal="center" shrinkToFit="0" wrapText="1"/>
    </xf>
    <xf borderId="8" fillId="3" fontId="4" numFmtId="0" xfId="0" applyAlignment="1" applyBorder="1" applyFont="1">
      <alignment shrinkToFit="0" wrapText="1"/>
    </xf>
    <xf borderId="9" fillId="3" fontId="4" numFmtId="0" xfId="0" applyAlignment="1" applyBorder="1" applyFont="1">
      <alignment horizontal="center" shrinkToFit="0" wrapText="1"/>
    </xf>
    <xf borderId="10" fillId="3" fontId="4" numFmtId="0" xfId="0" applyAlignment="1" applyBorder="1" applyFont="1">
      <alignment horizontal="center" shrinkToFit="0" wrapText="1"/>
    </xf>
    <xf borderId="11" fillId="3" fontId="4" numFmtId="164" xfId="0" applyAlignment="1" applyBorder="1" applyFont="1" applyNumberFormat="1">
      <alignment horizontal="center" shrinkToFit="0" wrapText="1"/>
    </xf>
    <xf borderId="10" fillId="3" fontId="4" numFmtId="164" xfId="0" applyAlignment="1" applyBorder="1" applyFont="1" applyNumberFormat="1">
      <alignment horizontal="center" shrinkToFit="0" wrapText="1"/>
    </xf>
    <xf borderId="9" fillId="3" fontId="4" numFmtId="49" xfId="0" applyAlignment="1" applyBorder="1" applyFont="1" applyNumberFormat="1">
      <alignment horizontal="center" shrinkToFit="0" wrapText="1"/>
    </xf>
    <xf borderId="10" fillId="3" fontId="5" numFmtId="164" xfId="0" applyAlignment="1" applyBorder="1" applyFont="1" applyNumberFormat="1">
      <alignment horizontal="center" shrinkToFit="0" vertical="bottom" wrapText="1"/>
    </xf>
    <xf borderId="8" fillId="3" fontId="6" numFmtId="0" xfId="0" applyAlignment="1" applyBorder="1" applyFont="1">
      <alignment horizontal="center" shrinkToFit="0" vertical="bottom" wrapText="1"/>
    </xf>
    <xf borderId="8" fillId="3" fontId="6" numFmtId="0" xfId="0" applyAlignment="1" applyBorder="1" applyFont="1">
      <alignment horizontal="center" readingOrder="0" shrinkToFit="0" vertical="bottom" wrapText="1"/>
    </xf>
    <xf borderId="8" fillId="3" fontId="6" numFmtId="49" xfId="0" applyAlignment="1" applyBorder="1" applyFont="1" applyNumberFormat="1">
      <alignment horizontal="center" shrinkToFit="0" vertical="bottom" wrapText="1"/>
    </xf>
    <xf borderId="11" fillId="3" fontId="6" numFmtId="0" xfId="0" applyAlignment="1" applyBorder="1" applyFont="1">
      <alignment horizontal="center" shrinkToFit="0" vertical="bottom" wrapText="1"/>
    </xf>
    <xf borderId="6" fillId="3" fontId="4" numFmtId="164" xfId="0" applyAlignment="1" applyBorder="1" applyFont="1" applyNumberFormat="1">
      <alignment horizontal="center" shrinkToFit="0" wrapText="1"/>
    </xf>
    <xf borderId="7" fillId="3" fontId="4" numFmtId="164" xfId="0" applyAlignment="1" applyBorder="1" applyFont="1" applyNumberFormat="1">
      <alignment horizontal="center" shrinkToFit="0" wrapText="1"/>
    </xf>
    <xf borderId="8" fillId="0" fontId="7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8" fillId="0" fontId="9" numFmtId="0" xfId="0" applyAlignment="1" applyBorder="1" applyFont="1">
      <alignment vertical="bottom"/>
    </xf>
    <xf borderId="8" fillId="0" fontId="9" numFmtId="165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horizontal="right" vertical="bottom"/>
    </xf>
    <xf borderId="9" fillId="0" fontId="8" numFmtId="0" xfId="0" applyAlignment="1" applyBorder="1" applyFont="1">
      <alignment readingOrder="0"/>
    </xf>
    <xf borderId="5" fillId="4" fontId="9" numFmtId="164" xfId="0" applyAlignment="1" applyBorder="1" applyFill="1" applyFont="1" applyNumberFormat="1">
      <alignment horizontal="center" readingOrder="0" vertical="center"/>
    </xf>
    <xf borderId="11" fillId="5" fontId="10" numFmtId="164" xfId="0" applyAlignment="1" applyBorder="1" applyFill="1" applyFont="1" applyNumberFormat="1">
      <alignment horizontal="center" readingOrder="0" vertical="center"/>
    </xf>
    <xf borderId="10" fillId="5" fontId="10" numFmtId="164" xfId="0" applyAlignment="1" applyBorder="1" applyFont="1" applyNumberFormat="1">
      <alignment horizontal="center" readingOrder="0" vertical="center"/>
    </xf>
    <xf borderId="8" fillId="0" fontId="9" numFmtId="166" xfId="0" applyAlignment="1" applyBorder="1" applyFont="1" applyNumberFormat="1">
      <alignment horizontal="right" vertical="bottom"/>
    </xf>
    <xf borderId="5" fillId="0" fontId="7" numFmtId="0" xfId="0" applyBorder="1" applyFont="1"/>
    <xf borderId="8" fillId="0" fontId="8" numFmtId="0" xfId="0" applyBorder="1" applyFont="1"/>
    <xf borderId="11" fillId="0" fontId="8" numFmtId="0" xfId="0" applyBorder="1" applyFont="1"/>
    <xf borderId="10" fillId="0" fontId="7" numFmtId="164" xfId="0" applyBorder="1" applyFont="1" applyNumberFormat="1"/>
    <xf borderId="9" fillId="0" fontId="7" numFmtId="164" xfId="0" applyBorder="1" applyFont="1" applyNumberFormat="1"/>
    <xf borderId="8" fillId="6" fontId="7" numFmtId="0" xfId="0" applyAlignment="1" applyBorder="1" applyFill="1" applyFont="1">
      <alignment readingOrder="0"/>
    </xf>
    <xf borderId="8" fillId="6" fontId="8" numFmtId="0" xfId="0" applyAlignment="1" applyBorder="1" applyFont="1">
      <alignment readingOrder="0"/>
    </xf>
    <xf borderId="8" fillId="6" fontId="9" numFmtId="0" xfId="0" applyAlignment="1" applyBorder="1" applyFont="1">
      <alignment vertical="bottom"/>
    </xf>
    <xf borderId="8" fillId="6" fontId="9" numFmtId="165" xfId="0" applyAlignment="1" applyBorder="1" applyFont="1" applyNumberFormat="1">
      <alignment horizontal="right" vertical="bottom"/>
    </xf>
    <xf borderId="8" fillId="6" fontId="9" numFmtId="0" xfId="0" applyAlignment="1" applyBorder="1" applyFont="1">
      <alignment horizontal="right" vertical="bottom"/>
    </xf>
    <xf borderId="9" fillId="6" fontId="8" numFmtId="0" xfId="0" applyAlignment="1" applyBorder="1" applyFont="1">
      <alignment readingOrder="0"/>
    </xf>
    <xf borderId="5" fillId="6" fontId="9" numFmtId="164" xfId="0" applyAlignment="1" applyBorder="1" applyFont="1" applyNumberFormat="1">
      <alignment horizontal="center" readingOrder="0" vertical="center"/>
    </xf>
    <xf borderId="11" fillId="6" fontId="10" numFmtId="164" xfId="0" applyAlignment="1" applyBorder="1" applyFont="1" applyNumberFormat="1">
      <alignment horizontal="center" readingOrder="0" vertical="center"/>
    </xf>
    <xf borderId="10" fillId="6" fontId="10" numFmtId="164" xfId="0" applyAlignment="1" applyBorder="1" applyFont="1" applyNumberFormat="1">
      <alignment horizontal="center" readingOrder="0" vertical="center"/>
    </xf>
    <xf borderId="8" fillId="6" fontId="9" numFmtId="166" xfId="0" applyAlignment="1" applyBorder="1" applyFont="1" applyNumberFormat="1">
      <alignment horizontal="right" vertical="bottom"/>
    </xf>
    <xf borderId="5" fillId="6" fontId="7" numFmtId="0" xfId="0" applyBorder="1" applyFont="1"/>
    <xf borderId="8" fillId="6" fontId="8" numFmtId="0" xfId="0" applyBorder="1" applyFont="1"/>
    <xf borderId="11" fillId="6" fontId="8" numFmtId="0" xfId="0" applyBorder="1" applyFont="1"/>
    <xf borderId="10" fillId="6" fontId="7" numFmtId="164" xfId="0" applyBorder="1" applyFont="1" applyNumberFormat="1"/>
    <xf borderId="9" fillId="6" fontId="7" numFmtId="164" xfId="0" applyBorder="1" applyFont="1" applyNumberFormat="1"/>
    <xf borderId="5" fillId="6" fontId="10" numFmtId="164" xfId="0" applyAlignment="1" applyBorder="1" applyFont="1" applyNumberFormat="1">
      <alignment horizontal="center" readingOrder="0" vertical="center"/>
    </xf>
    <xf borderId="8" fillId="6" fontId="8" numFmtId="166" xfId="0" applyAlignment="1" applyBorder="1" applyFont="1" applyNumberFormat="1">
      <alignment readingOrder="0"/>
    </xf>
    <xf borderId="11" fillId="6" fontId="8" numFmtId="0" xfId="0" applyAlignment="1" applyBorder="1" applyFont="1">
      <alignment readingOrder="0"/>
    </xf>
    <xf borderId="8" fillId="5" fontId="9" numFmtId="0" xfId="0" applyAlignment="1" applyBorder="1" applyFont="1">
      <alignment vertical="bottom"/>
    </xf>
    <xf borderId="8" fillId="6" fontId="7" numFmtId="166" xfId="0" applyAlignment="1" applyBorder="1" applyFont="1" applyNumberFormat="1">
      <alignment readingOrder="0"/>
    </xf>
    <xf borderId="8" fillId="6" fontId="7" numFmtId="0" xfId="0" applyBorder="1" applyFont="1"/>
    <xf borderId="11" fillId="6" fontId="7" numFmtId="0" xfId="0" applyAlignment="1" applyBorder="1" applyFont="1">
      <alignment readingOrder="0"/>
    </xf>
    <xf borderId="12" fillId="2" fontId="1" numFmtId="164" xfId="0" applyAlignment="1" applyBorder="1" applyFont="1" applyNumberFormat="1">
      <alignment horizontal="center" readingOrder="0" shrinkToFit="0" wrapText="1"/>
    </xf>
    <xf borderId="13" fillId="0" fontId="2" numFmtId="0" xfId="0" applyBorder="1" applyFont="1"/>
    <xf borderId="14" fillId="3" fontId="4" numFmtId="49" xfId="0" applyAlignment="1" applyBorder="1" applyFont="1" applyNumberFormat="1">
      <alignment horizontal="center" shrinkToFit="0" wrapText="1"/>
    </xf>
    <xf borderId="14" fillId="3" fontId="4" numFmtId="0" xfId="0" applyAlignment="1" applyBorder="1" applyFont="1">
      <alignment horizontal="center" shrinkToFit="0" wrapText="1"/>
    </xf>
    <xf borderId="14" fillId="3" fontId="4" numFmtId="0" xfId="0" applyAlignment="1" applyBorder="1" applyFont="1">
      <alignment shrinkToFit="0" wrapText="1"/>
    </xf>
    <xf borderId="15" fillId="3" fontId="4" numFmtId="0" xfId="0" applyAlignment="1" applyBorder="1" applyFont="1">
      <alignment horizontal="center" shrinkToFit="0" wrapText="1"/>
    </xf>
    <xf borderId="16" fillId="3" fontId="4" numFmtId="0" xfId="0" applyAlignment="1" applyBorder="1" applyFont="1">
      <alignment horizontal="center" shrinkToFit="0" wrapText="1"/>
    </xf>
    <xf borderId="15" fillId="3" fontId="4" numFmtId="164" xfId="0" applyAlignment="1" applyBorder="1" applyFont="1" applyNumberFormat="1">
      <alignment horizontal="center" shrinkToFit="0" wrapText="1"/>
    </xf>
    <xf borderId="16" fillId="3" fontId="4" numFmtId="164" xfId="0" applyAlignment="1" applyBorder="1" applyFont="1" applyNumberFormat="1">
      <alignment horizontal="center" shrinkToFit="0" wrapText="1"/>
    </xf>
    <xf borderId="15" fillId="3" fontId="4" numFmtId="49" xfId="0" applyAlignment="1" applyBorder="1" applyFont="1" applyNumberFormat="1">
      <alignment horizontal="center" shrinkToFit="0" wrapText="1"/>
    </xf>
    <xf borderId="16" fillId="3" fontId="5" numFmtId="164" xfId="0" applyAlignment="1" applyBorder="1" applyFont="1" applyNumberFormat="1">
      <alignment horizontal="center" shrinkToFit="0" vertical="bottom" wrapText="1"/>
    </xf>
    <xf borderId="14" fillId="3" fontId="6" numFmtId="0" xfId="0" applyAlignment="1" applyBorder="1" applyFont="1">
      <alignment horizontal="center" shrinkToFit="0" vertical="bottom" wrapText="1"/>
    </xf>
    <xf borderId="14" fillId="3" fontId="6" numFmtId="0" xfId="0" applyAlignment="1" applyBorder="1" applyFont="1">
      <alignment horizontal="center" readingOrder="0" shrinkToFit="0" vertical="bottom" wrapText="1"/>
    </xf>
    <xf borderId="14" fillId="3" fontId="6" numFmtId="49" xfId="0" applyAlignment="1" applyBorder="1" applyFont="1" applyNumberFormat="1">
      <alignment horizontal="center" shrinkToFit="0" vertical="bottom" wrapText="1"/>
    </xf>
    <xf borderId="15" fillId="3" fontId="6" numFmtId="0" xfId="0" applyAlignment="1" applyBorder="1" applyFont="1">
      <alignment horizontal="center" shrinkToFit="0" vertical="bottom" wrapText="1"/>
    </xf>
    <xf borderId="16" fillId="3" fontId="5" numFmtId="164" xfId="0" applyAlignment="1" applyBorder="1" applyFont="1" applyNumberFormat="1">
      <alignment horizontal="center" readingOrder="0" shrinkToFit="0" vertical="bottom" wrapText="1"/>
    </xf>
    <xf borderId="17" fillId="3" fontId="6" numFmtId="0" xfId="0" applyAlignment="1" applyBorder="1" applyFont="1">
      <alignment horizontal="center" shrinkToFit="0" vertical="bottom" wrapText="1"/>
    </xf>
    <xf borderId="8" fillId="5" fontId="11" numFmtId="0" xfId="0" applyAlignment="1" applyBorder="1" applyFont="1">
      <alignment horizontal="right" vertical="bottom"/>
    </xf>
    <xf borderId="8" fillId="5" fontId="11" numFmtId="0" xfId="0" applyAlignment="1" applyBorder="1" applyFont="1">
      <alignment vertical="bottom"/>
    </xf>
    <xf borderId="8" fillId="5" fontId="12" numFmtId="0" xfId="0" applyAlignment="1" applyBorder="1" applyFont="1">
      <alignment vertical="bottom"/>
    </xf>
    <xf borderId="8" fillId="5" fontId="11" numFmtId="165" xfId="0" applyAlignment="1" applyBorder="1" applyFont="1" applyNumberFormat="1">
      <alignment horizontal="right" vertical="bottom"/>
    </xf>
    <xf borderId="11" fillId="5" fontId="11" numFmtId="0" xfId="0" applyAlignment="1" applyBorder="1" applyFont="1">
      <alignment vertical="bottom"/>
    </xf>
    <xf borderId="10" fillId="5" fontId="7" numFmtId="0" xfId="0" applyAlignment="1" applyBorder="1" applyFont="1">
      <alignment readingOrder="0"/>
    </xf>
    <xf borderId="9" fillId="5" fontId="11" numFmtId="164" xfId="0" applyAlignment="1" applyBorder="1" applyFont="1" applyNumberFormat="1">
      <alignment horizontal="center" vertical="bottom"/>
    </xf>
    <xf borderId="5" fillId="5" fontId="11" numFmtId="164" xfId="0" applyAlignment="1" applyBorder="1" applyFont="1" applyNumberFormat="1">
      <alignment horizontal="center" vertical="bottom"/>
    </xf>
    <xf borderId="8" fillId="5" fontId="11" numFmtId="166" xfId="0" applyAlignment="1" applyBorder="1" applyFont="1" applyNumberFormat="1">
      <alignment horizontal="right" vertical="bottom"/>
    </xf>
    <xf borderId="8" fillId="5" fontId="11" numFmtId="20" xfId="0" applyAlignment="1" applyBorder="1" applyFont="1" applyNumberFormat="1">
      <alignment horizontal="right" vertical="bottom"/>
    </xf>
    <xf borderId="10" fillId="5" fontId="11" numFmtId="164" xfId="0" applyAlignment="1" applyBorder="1" applyFont="1" applyNumberFormat="1">
      <alignment horizontal="right" vertical="bottom"/>
    </xf>
    <xf borderId="8" fillId="0" fontId="7" numFmtId="0" xfId="0" applyBorder="1" applyFont="1"/>
    <xf borderId="9" fillId="0" fontId="7" numFmtId="0" xfId="0" applyBorder="1" applyFont="1"/>
    <xf borderId="5" fillId="0" fontId="7" numFmtId="164" xfId="0" applyBorder="1" applyFont="1" applyNumberFormat="1"/>
    <xf borderId="11" fillId="5" fontId="11" numFmtId="0" xfId="0" applyAlignment="1" applyBorder="1" applyFont="1">
      <alignment horizontal="right" vertical="bottom"/>
    </xf>
    <xf borderId="9" fillId="5" fontId="11" numFmtId="0" xfId="0" applyAlignment="1" applyBorder="1" applyFont="1">
      <alignment horizontal="right" vertical="bottom"/>
    </xf>
    <xf borderId="5" fillId="5" fontId="11" numFmtId="164" xfId="0" applyAlignment="1" applyBorder="1" applyFont="1" applyNumberFormat="1">
      <alignment horizontal="right" vertical="bottom"/>
    </xf>
    <xf borderId="8" fillId="5" fontId="11" numFmtId="164" xfId="0" applyAlignment="1" applyBorder="1" applyFont="1" applyNumberFormat="1">
      <alignment horizontal="right" readingOrder="0" vertical="bottom"/>
    </xf>
    <xf borderId="8" fillId="5" fontId="11" numFmtId="0" xfId="0" applyAlignment="1" applyBorder="1" applyFont="1">
      <alignment horizontal="center" vertical="bottom"/>
    </xf>
    <xf borderId="8" fillId="5" fontId="13" numFmtId="0" xfId="0" applyAlignment="1" applyBorder="1" applyFont="1">
      <alignment vertical="bottom"/>
    </xf>
    <xf borderId="11" fillId="0" fontId="7" numFmtId="0" xfId="0" applyBorder="1" applyFont="1"/>
    <xf borderId="10" fillId="5" fontId="11" numFmtId="164" xfId="0" applyAlignment="1" applyBorder="1" applyFont="1" applyNumberFormat="1">
      <alignment vertical="bottom"/>
    </xf>
    <xf borderId="9" fillId="5" fontId="11" numFmtId="0" xfId="0" applyAlignment="1" applyBorder="1" applyFont="1">
      <alignment vertical="bottom"/>
    </xf>
    <xf borderId="1" fillId="7" fontId="14" numFmtId="49" xfId="0" applyAlignment="1" applyBorder="1" applyFill="1" applyFont="1" applyNumberFormat="1">
      <alignment horizontal="center" shrinkToFit="0" wrapText="1"/>
    </xf>
    <xf borderId="1" fillId="7" fontId="15" numFmtId="49" xfId="0" applyBorder="1" applyFont="1" applyNumberFormat="1"/>
    <xf borderId="2" fillId="7" fontId="15" numFmtId="49" xfId="0" applyBorder="1" applyFont="1" applyNumberFormat="1"/>
    <xf borderId="3" fillId="7" fontId="14" numFmtId="164" xfId="0" applyAlignment="1" applyBorder="1" applyFont="1" applyNumberFormat="1">
      <alignment horizontal="center" shrinkToFit="0" wrapText="1"/>
    </xf>
    <xf borderId="12" fillId="7" fontId="14" numFmtId="164" xfId="0" applyAlignment="1" applyBorder="1" applyFont="1" applyNumberFormat="1">
      <alignment horizontal="center" readingOrder="0" shrinkToFit="0" wrapText="1"/>
    </xf>
    <xf borderId="4" fillId="7" fontId="14" numFmtId="164" xfId="0" applyAlignment="1" applyBorder="1" applyFont="1" applyNumberFormat="1">
      <alignment horizontal="center" readingOrder="0" shrinkToFit="0" wrapText="1"/>
    </xf>
    <xf borderId="6" fillId="7" fontId="14" numFmtId="164" xfId="0" applyAlignment="1" applyBorder="1" applyFont="1" applyNumberFormat="1">
      <alignment horizontal="center" shrinkToFit="0" wrapText="1"/>
    </xf>
    <xf borderId="14" fillId="3" fontId="16" numFmtId="49" xfId="0" applyAlignment="1" applyBorder="1" applyFont="1" applyNumberFormat="1">
      <alignment horizontal="center" shrinkToFit="0" wrapText="1"/>
    </xf>
    <xf borderId="14" fillId="3" fontId="16" numFmtId="0" xfId="0" applyAlignment="1" applyBorder="1" applyFont="1">
      <alignment horizontal="center" shrinkToFit="0" wrapText="1"/>
    </xf>
    <xf borderId="14" fillId="3" fontId="16" numFmtId="0" xfId="0" applyAlignment="1" applyBorder="1" applyFont="1">
      <alignment shrinkToFit="0" wrapText="1"/>
    </xf>
    <xf borderId="15" fillId="3" fontId="16" numFmtId="0" xfId="0" applyAlignment="1" applyBorder="1" applyFont="1">
      <alignment horizontal="center" shrinkToFit="0" wrapText="1"/>
    </xf>
    <xf borderId="16" fillId="3" fontId="16" numFmtId="0" xfId="0" applyAlignment="1" applyBorder="1" applyFont="1">
      <alignment horizontal="center" shrinkToFit="0" wrapText="1"/>
    </xf>
    <xf borderId="15" fillId="3" fontId="16" numFmtId="164" xfId="0" applyAlignment="1" applyBorder="1" applyFont="1" applyNumberFormat="1">
      <alignment horizontal="center" shrinkToFit="0" wrapText="1"/>
    </xf>
    <xf borderId="16" fillId="3" fontId="16" numFmtId="164" xfId="0" applyAlignment="1" applyBorder="1" applyFont="1" applyNumberFormat="1">
      <alignment horizontal="center" shrinkToFit="0" wrapText="1"/>
    </xf>
    <xf borderId="14" fillId="3" fontId="16" numFmtId="49" xfId="0" applyAlignment="1" applyBorder="1" applyFont="1" applyNumberFormat="1">
      <alignment horizontal="center" shrinkToFit="0" vertical="bottom" wrapText="1"/>
    </xf>
    <xf borderId="15" fillId="3" fontId="16" numFmtId="49" xfId="0" applyAlignment="1" applyBorder="1" applyFont="1" applyNumberFormat="1">
      <alignment horizontal="center" shrinkToFit="0" wrapText="1"/>
    </xf>
    <xf borderId="16" fillId="3" fontId="17" numFmtId="164" xfId="0" applyAlignment="1" applyBorder="1" applyFont="1" applyNumberFormat="1">
      <alignment horizontal="center" shrinkToFit="0" vertical="bottom" wrapText="1"/>
    </xf>
    <xf borderId="14" fillId="3" fontId="16" numFmtId="0" xfId="0" applyAlignment="1" applyBorder="1" applyFont="1">
      <alignment horizontal="center" shrinkToFit="0" vertical="bottom" wrapText="1"/>
    </xf>
    <xf borderId="14" fillId="3" fontId="16" numFmtId="0" xfId="0" applyAlignment="1" applyBorder="1" applyFont="1">
      <alignment horizontal="center" readingOrder="0" shrinkToFit="0" vertical="bottom" wrapText="1"/>
    </xf>
    <xf borderId="15" fillId="3" fontId="16" numFmtId="0" xfId="0" applyAlignment="1" applyBorder="1" applyFont="1">
      <alignment horizontal="center" shrinkToFit="0" vertical="bottom" wrapText="1"/>
    </xf>
    <xf borderId="16" fillId="3" fontId="17" numFmtId="164" xfId="0" applyAlignment="1" applyBorder="1" applyFont="1" applyNumberFormat="1">
      <alignment horizontal="center" readingOrder="0" shrinkToFit="0" vertical="bottom" wrapText="1"/>
    </xf>
    <xf borderId="17" fillId="3" fontId="16" numFmtId="0" xfId="0" applyAlignment="1" applyBorder="1" applyFont="1">
      <alignment horizontal="center" shrinkToFit="0" vertical="bottom" wrapText="1"/>
    </xf>
    <xf borderId="6" fillId="3" fontId="16" numFmtId="164" xfId="0" applyAlignment="1" applyBorder="1" applyFont="1" applyNumberFormat="1">
      <alignment horizontal="center" shrinkToFit="0" wrapText="1"/>
    </xf>
    <xf borderId="7" fillId="3" fontId="16" numFmtId="164" xfId="0" applyAlignment="1" applyBorder="1" applyFont="1" applyNumberFormat="1">
      <alignment horizontal="center" shrinkToFit="0" wrapText="1"/>
    </xf>
    <xf borderId="8" fillId="0" fontId="18" numFmtId="0" xfId="0" applyAlignment="1" applyBorder="1" applyFont="1">
      <alignment horizontal="right" vertical="bottom"/>
    </xf>
    <xf borderId="8" fillId="0" fontId="18" numFmtId="0" xfId="0" applyAlignment="1" applyBorder="1" applyFont="1">
      <alignment vertical="bottom"/>
    </xf>
    <xf borderId="8" fillId="5" fontId="19" numFmtId="0" xfId="0" applyAlignment="1" applyBorder="1" applyFont="1">
      <alignment vertical="bottom"/>
    </xf>
    <xf borderId="8" fillId="0" fontId="18" numFmtId="165" xfId="0" applyAlignment="1" applyBorder="1" applyFont="1" applyNumberFormat="1">
      <alignment horizontal="right" vertical="bottom"/>
    </xf>
    <xf borderId="8" fillId="0" fontId="18" numFmtId="0" xfId="0" applyAlignment="1" applyBorder="1" applyFont="1">
      <alignment horizontal="right" readingOrder="0" vertical="bottom"/>
    </xf>
    <xf borderId="11" fillId="0" fontId="18" numFmtId="0" xfId="0" applyAlignment="1" applyBorder="1" applyFont="1">
      <alignment vertical="bottom"/>
    </xf>
    <xf borderId="10" fillId="0" fontId="18" numFmtId="0" xfId="0" applyAlignment="1" applyBorder="1" applyFont="1">
      <alignment readingOrder="0"/>
    </xf>
    <xf borderId="9" fillId="0" fontId="20" numFmtId="164" xfId="0" applyAlignment="1" applyBorder="1" applyFont="1" applyNumberFormat="1">
      <alignment horizontal="center" vertical="bottom"/>
    </xf>
    <xf borderId="5" fillId="0" fontId="20" numFmtId="164" xfId="0" applyAlignment="1" applyBorder="1" applyFont="1" applyNumberFormat="1">
      <alignment horizontal="center" vertical="bottom"/>
    </xf>
    <xf borderId="8" fillId="0" fontId="18" numFmtId="166" xfId="0" applyAlignment="1" applyBorder="1" applyFont="1" applyNumberFormat="1">
      <alignment horizontal="right" vertical="bottom"/>
    </xf>
    <xf borderId="11" fillId="5" fontId="18" numFmtId="0" xfId="0" applyAlignment="1" applyBorder="1" applyFont="1">
      <alignment vertical="bottom"/>
    </xf>
    <xf borderId="10" fillId="5" fontId="20" numFmtId="164" xfId="0" applyAlignment="1" applyBorder="1" applyFont="1" applyNumberFormat="1">
      <alignment vertical="bottom"/>
    </xf>
    <xf borderId="8" fillId="5" fontId="18" numFmtId="0" xfId="0" applyAlignment="1" applyBorder="1" applyFont="1">
      <alignment vertical="bottom"/>
    </xf>
    <xf borderId="8" fillId="5" fontId="18" numFmtId="0" xfId="0" applyBorder="1" applyFont="1"/>
    <xf borderId="8" fillId="0" fontId="18" numFmtId="0" xfId="0" applyBorder="1" applyFont="1"/>
    <xf borderId="9" fillId="0" fontId="18" numFmtId="0" xfId="0" applyBorder="1" applyFont="1"/>
    <xf borderId="5" fillId="0" fontId="20" numFmtId="164" xfId="0" applyBorder="1" applyFont="1" applyNumberFormat="1"/>
    <xf borderId="11" fillId="0" fontId="18" numFmtId="0" xfId="0" applyBorder="1" applyFont="1"/>
    <xf borderId="10" fillId="0" fontId="20" numFmtId="164" xfId="0" applyAlignment="1" applyBorder="1" applyFont="1" applyNumberFormat="1">
      <alignment vertical="bottom"/>
    </xf>
    <xf borderId="8" fillId="0" fontId="20" numFmtId="164" xfId="0" applyAlignment="1" applyBorder="1" applyFont="1" applyNumberFormat="1">
      <alignment horizontal="right" vertical="bottom"/>
    </xf>
    <xf borderId="5" fillId="0" fontId="21" numFmtId="164" xfId="0" applyAlignment="1" applyBorder="1" applyFont="1" applyNumberFormat="1">
      <alignment horizontal="center" vertical="bottom"/>
    </xf>
    <xf borderId="8" fillId="0" fontId="18" numFmtId="0" xfId="0" applyAlignment="1" applyBorder="1" applyFont="1">
      <alignment readingOrder="0" vertical="bottom"/>
    </xf>
    <xf borderId="5" fillId="0" fontId="20" numFmtId="164" xfId="0" applyAlignment="1" applyBorder="1" applyFont="1" applyNumberFormat="1">
      <alignment horizontal="center" readingOrder="0" vertical="bottom"/>
    </xf>
    <xf borderId="11" fillId="5" fontId="18" numFmtId="0" xfId="0" applyBorder="1" applyFont="1"/>
    <xf borderId="8" fillId="0" fontId="18" numFmtId="20" xfId="0" applyAlignment="1" applyBorder="1" applyFont="1" applyNumberFormat="1">
      <alignment horizontal="right" vertical="bottom"/>
    </xf>
    <xf borderId="8" fillId="8" fontId="18" numFmtId="0" xfId="0" applyAlignment="1" applyBorder="1" applyFill="1" applyFont="1">
      <alignment vertical="bottom"/>
    </xf>
    <xf borderId="8" fillId="8" fontId="18" numFmtId="165" xfId="0" applyAlignment="1" applyBorder="1" applyFont="1" applyNumberFormat="1">
      <alignment horizontal="right" vertical="bottom"/>
    </xf>
    <xf borderId="8" fillId="8" fontId="18" numFmtId="0" xfId="0" applyAlignment="1" applyBorder="1" applyFont="1">
      <alignment horizontal="right" vertical="bottom"/>
    </xf>
    <xf borderId="11" fillId="8" fontId="18" numFmtId="0" xfId="0" applyAlignment="1" applyBorder="1" applyFont="1">
      <alignment vertical="bottom"/>
    </xf>
    <xf borderId="9" fillId="8" fontId="20" numFmtId="164" xfId="0" applyAlignment="1" applyBorder="1" applyFont="1" applyNumberFormat="1">
      <alignment horizontal="center" vertical="bottom"/>
    </xf>
    <xf borderId="5" fillId="8" fontId="20" numFmtId="164" xfId="0" applyAlignment="1" applyBorder="1" applyFont="1" applyNumberFormat="1">
      <alignment horizontal="center" readingOrder="0" vertical="bottom"/>
    </xf>
    <xf borderId="8" fillId="8" fontId="18" numFmtId="166" xfId="0" applyAlignment="1" applyBorder="1" applyFont="1" applyNumberFormat="1">
      <alignment horizontal="right" vertical="bottom"/>
    </xf>
    <xf borderId="8" fillId="8" fontId="18" numFmtId="20" xfId="0" applyAlignment="1" applyBorder="1" applyFont="1" applyNumberFormat="1">
      <alignment horizontal="right" vertical="bottom"/>
    </xf>
    <xf borderId="11" fillId="8" fontId="18" numFmtId="0" xfId="0" applyBorder="1" applyFont="1"/>
    <xf borderId="10" fillId="8" fontId="20" numFmtId="164" xfId="0" applyAlignment="1" applyBorder="1" applyFont="1" applyNumberFormat="1">
      <alignment vertical="bottom"/>
    </xf>
    <xf borderId="8" fillId="8" fontId="18" numFmtId="0" xfId="0" applyBorder="1" applyFont="1"/>
    <xf borderId="9" fillId="8" fontId="18" numFmtId="0" xfId="0" applyBorder="1" applyFont="1"/>
    <xf borderId="5" fillId="8" fontId="20" numFmtId="164" xfId="0" applyBorder="1" applyFont="1" applyNumberFormat="1"/>
    <xf borderId="8" fillId="8" fontId="20" numFmtId="164" xfId="0" applyAlignment="1" applyBorder="1" applyFont="1" applyNumberFormat="1">
      <alignment horizontal="right" vertical="bottom"/>
    </xf>
    <xf borderId="11" fillId="0" fontId="18" numFmtId="0" xfId="0" applyAlignment="1" applyBorder="1" applyFont="1">
      <alignment readingOrder="0" vertical="bottom"/>
    </xf>
    <xf borderId="8" fillId="8" fontId="19" numFmtId="0" xfId="0" applyAlignment="1" applyBorder="1" applyFont="1">
      <alignment vertical="bottom"/>
    </xf>
    <xf borderId="11" fillId="9" fontId="18" numFmtId="0" xfId="0" applyAlignment="1" applyBorder="1" applyFill="1" applyFont="1">
      <alignment readingOrder="0"/>
    </xf>
    <xf borderId="5" fillId="8" fontId="20" numFmtId="164" xfId="0" applyAlignment="1" applyBorder="1" applyFont="1" applyNumberFormat="1">
      <alignment horizontal="center" vertical="bottom"/>
    </xf>
    <xf borderId="9" fillId="8" fontId="18" numFmtId="166" xfId="0" applyAlignment="1" applyBorder="1" applyFont="1" applyNumberFormat="1">
      <alignment horizontal="right" vertical="bottom"/>
    </xf>
    <xf borderId="5" fillId="8" fontId="20" numFmtId="164" xfId="0" applyAlignment="1" applyBorder="1" applyFont="1" applyNumberFormat="1">
      <alignment horizontal="right" vertical="bottom"/>
    </xf>
    <xf borderId="0" fillId="5" fontId="7" numFmtId="0" xfId="0" applyFont="1"/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horizontal="right" vertical="bottom"/>
    </xf>
    <xf borderId="0" fillId="0" fontId="11" numFmtId="0" xfId="0" applyAlignment="1" applyFont="1">
      <alignment horizontal="right" vertical="bottom"/>
    </xf>
    <xf borderId="1" fillId="2" fontId="22" numFmtId="49" xfId="0" applyAlignment="1" applyBorder="1" applyFont="1" applyNumberFormat="1">
      <alignment horizontal="center" shrinkToFit="0" wrapText="1"/>
    </xf>
    <xf borderId="1" fillId="2" fontId="23" numFmtId="49" xfId="0" applyBorder="1" applyFont="1" applyNumberFormat="1"/>
    <xf borderId="2" fillId="2" fontId="23" numFmtId="49" xfId="0" applyBorder="1" applyFont="1" applyNumberFormat="1"/>
    <xf borderId="3" fillId="2" fontId="22" numFmtId="164" xfId="0" applyAlignment="1" applyBorder="1" applyFont="1" applyNumberFormat="1">
      <alignment horizontal="center" shrinkToFit="0" wrapText="1"/>
    </xf>
    <xf borderId="4" fillId="2" fontId="22" numFmtId="164" xfId="0" applyAlignment="1" applyBorder="1" applyFont="1" applyNumberFormat="1">
      <alignment horizontal="center" readingOrder="0" shrinkToFit="0" wrapText="1"/>
    </xf>
    <xf borderId="6" fillId="2" fontId="22" numFmtId="164" xfId="0" applyAlignment="1" applyBorder="1" applyFont="1" applyNumberFormat="1">
      <alignment horizontal="center" shrinkToFit="0" wrapText="1"/>
    </xf>
    <xf borderId="8" fillId="0" fontId="18" numFmtId="0" xfId="0" applyAlignment="1" applyBorder="1" applyFont="1">
      <alignment horizontal="left" vertical="bottom"/>
    </xf>
    <xf borderId="8" fillId="5" fontId="19" numFmtId="0" xfId="0" applyAlignment="1" applyBorder="1" applyFont="1">
      <alignment horizontal="left" vertical="bottom"/>
    </xf>
    <xf borderId="8" fillId="0" fontId="18" numFmtId="165" xfId="0" applyAlignment="1" applyBorder="1" applyFont="1" applyNumberFormat="1">
      <alignment horizontal="left" vertical="bottom"/>
    </xf>
    <xf borderId="11" fillId="0" fontId="18" numFmtId="0" xfId="0" applyAlignment="1" applyBorder="1" applyFont="1">
      <alignment horizontal="left" readingOrder="0"/>
    </xf>
    <xf borderId="9" fillId="0" fontId="24" numFmtId="164" xfId="0" applyAlignment="1" applyBorder="1" applyFont="1" applyNumberFormat="1">
      <alignment horizontal="center" vertical="bottom"/>
    </xf>
    <xf borderId="5" fillId="0" fontId="24" numFmtId="164" xfId="0" applyAlignment="1" applyBorder="1" applyFont="1" applyNumberFormat="1">
      <alignment horizontal="center" vertical="bottom"/>
    </xf>
    <xf borderId="8" fillId="0" fontId="18" numFmtId="166" xfId="0" applyAlignment="1" applyBorder="1" applyFont="1" applyNumberFormat="1">
      <alignment horizontal="left" vertical="bottom"/>
    </xf>
    <xf borderId="11" fillId="5" fontId="18" numFmtId="0" xfId="0" applyAlignment="1" applyBorder="1" applyFont="1">
      <alignment horizontal="left" vertical="bottom"/>
    </xf>
    <xf borderId="10" fillId="5" fontId="18" numFmtId="0" xfId="0" applyAlignment="1" applyBorder="1" applyFont="1">
      <alignment horizontal="left" vertical="bottom"/>
    </xf>
    <xf borderId="8" fillId="0" fontId="18" numFmtId="0" xfId="0" applyAlignment="1" applyBorder="1" applyFont="1">
      <alignment horizontal="left"/>
    </xf>
    <xf borderId="9" fillId="0" fontId="18" numFmtId="0" xfId="0" applyAlignment="1" applyBorder="1" applyFont="1">
      <alignment horizontal="left" vertical="bottom"/>
    </xf>
    <xf borderId="5" fillId="0" fontId="18" numFmtId="164" xfId="0" applyAlignment="1" applyBorder="1" applyFont="1" applyNumberFormat="1">
      <alignment horizontal="left"/>
    </xf>
    <xf borderId="9" fillId="0" fontId="18" numFmtId="164" xfId="0" applyAlignment="1" applyBorder="1" applyFont="1" applyNumberFormat="1">
      <alignment horizontal="left"/>
    </xf>
    <xf borderId="8" fillId="0" fontId="18" numFmtId="0" xfId="0" applyAlignment="1" applyBorder="1" applyFont="1">
      <alignment horizontal="left" readingOrder="0" vertical="bottom"/>
    </xf>
    <xf borderId="8" fillId="0" fontId="18" numFmtId="20" xfId="0" applyAlignment="1" applyBorder="1" applyFont="1" applyNumberFormat="1">
      <alignment horizontal="left" vertical="bottom"/>
    </xf>
    <xf borderId="18" fillId="0" fontId="18" numFmtId="164" xfId="0" applyAlignment="1" applyBorder="1" applyFont="1" applyNumberFormat="1">
      <alignment horizontal="left"/>
    </xf>
    <xf borderId="15" fillId="0" fontId="18" numFmtId="164" xfId="0" applyAlignment="1" applyBorder="1" applyFont="1" applyNumberFormat="1">
      <alignment horizontal="left"/>
    </xf>
    <xf borderId="0" fillId="2" fontId="1" numFmtId="164" xfId="0" applyAlignment="1" applyFont="1" applyNumberFormat="1">
      <alignment horizontal="center" shrinkToFit="0" wrapText="1"/>
    </xf>
    <xf borderId="0" fillId="3" fontId="4" numFmtId="164" xfId="0" applyAlignment="1" applyFont="1" applyNumberFormat="1">
      <alignment horizontal="center" shrinkToFit="0" wrapText="1"/>
    </xf>
    <xf borderId="0" fillId="5" fontId="12" numFmtId="0" xfId="0" applyAlignment="1" applyFont="1">
      <alignment vertical="bottom"/>
    </xf>
    <xf borderId="0" fillId="0" fontId="11" numFmtId="165" xfId="0" applyAlignment="1" applyFont="1" applyNumberFormat="1">
      <alignment horizontal="right" vertical="bottom"/>
    </xf>
    <xf borderId="0" fillId="0" fontId="11" numFmtId="167" xfId="0" applyAlignment="1" applyFont="1" applyNumberFormat="1">
      <alignment horizontal="right" vertical="bottom"/>
    </xf>
    <xf borderId="0" fillId="5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4</xdr:row>
      <xdr:rowOff>0</xdr:rowOff>
    </xdr:from>
    <xdr:ext cx="95250" cy="2000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95250" cy="2000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123825" cy="2000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95250" cy="20002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15.0"/>
    <col customWidth="1" min="4" max="4" width="14.88"/>
    <col customWidth="1" min="7" max="7" width="21.0"/>
    <col customWidth="1" min="8" max="8" width="7.38"/>
    <col customWidth="1" min="9" max="9" width="8.75"/>
    <col customWidth="1" min="12" max="13" width="8.88"/>
    <col customWidth="1" min="14" max="14" width="10.75"/>
    <col customWidth="1" min="15" max="15" width="5.88"/>
    <col customWidth="1" min="16" max="16" width="8.5"/>
    <col customWidth="1" min="17" max="17" width="7.88"/>
    <col customWidth="1" min="18" max="18" width="2.0"/>
    <col customWidth="1" min="19" max="19" width="10.0"/>
    <col customWidth="1" min="20" max="20" width="4.75"/>
  </cols>
  <sheetData>
    <row r="1">
      <c r="A1" s="1"/>
      <c r="B1" s="2"/>
      <c r="C1" s="2"/>
      <c r="D1" s="2"/>
      <c r="E1" s="2"/>
      <c r="F1" s="2"/>
      <c r="G1" s="3"/>
      <c r="H1" s="3"/>
      <c r="I1" s="4"/>
      <c r="J1" s="5" t="s">
        <v>0</v>
      </c>
      <c r="K1" s="2"/>
      <c r="L1" s="5" t="s">
        <v>1</v>
      </c>
      <c r="M1" s="2"/>
      <c r="N1" s="2"/>
      <c r="O1" s="6"/>
      <c r="P1" s="7" t="s">
        <v>2</v>
      </c>
      <c r="Q1" s="8"/>
      <c r="R1" s="8"/>
      <c r="S1" s="8"/>
      <c r="T1" s="9"/>
      <c r="U1" s="10" t="s">
        <v>3</v>
      </c>
      <c r="V1" s="11"/>
    </row>
    <row r="2">
      <c r="A2" s="12" t="s">
        <v>4</v>
      </c>
      <c r="B2" s="13" t="s">
        <v>5</v>
      </c>
      <c r="C2" s="14" t="s">
        <v>6</v>
      </c>
      <c r="D2" s="14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5" t="s">
        <v>12</v>
      </c>
      <c r="J2" s="16" t="s">
        <v>13</v>
      </c>
      <c r="K2" s="17" t="s">
        <v>0</v>
      </c>
      <c r="L2" s="18" t="s">
        <v>14</v>
      </c>
      <c r="M2" s="13" t="s">
        <v>15</v>
      </c>
      <c r="N2" s="13" t="s">
        <v>16</v>
      </c>
      <c r="O2" s="19" t="s">
        <v>17</v>
      </c>
      <c r="P2" s="20" t="s">
        <v>18</v>
      </c>
      <c r="Q2" s="21" t="s">
        <v>19</v>
      </c>
      <c r="R2" s="22" t="s">
        <v>20</v>
      </c>
      <c r="S2" s="23" t="s">
        <v>21</v>
      </c>
      <c r="T2" s="24" t="s">
        <v>22</v>
      </c>
      <c r="U2" s="25" t="s">
        <v>23</v>
      </c>
      <c r="V2" s="26" t="s">
        <v>24</v>
      </c>
    </row>
    <row r="3">
      <c r="A3" s="27">
        <v>1.0</v>
      </c>
      <c r="B3" s="28" t="s">
        <v>25</v>
      </c>
      <c r="C3" s="29" t="s">
        <v>26</v>
      </c>
      <c r="D3" s="29" t="s">
        <v>27</v>
      </c>
      <c r="E3" s="30">
        <v>6.05348838E8</v>
      </c>
      <c r="F3" s="31">
        <v>5.93962650939E11</v>
      </c>
      <c r="G3" s="29" t="s">
        <v>28</v>
      </c>
      <c r="H3" s="28" t="s">
        <v>29</v>
      </c>
      <c r="I3" s="32" t="s">
        <v>30</v>
      </c>
      <c r="J3" s="33" t="s">
        <v>31</v>
      </c>
      <c r="K3" s="34">
        <v>150.0</v>
      </c>
      <c r="L3" s="35">
        <v>60.0</v>
      </c>
      <c r="M3" s="36">
        <v>46045.0</v>
      </c>
      <c r="N3" s="31">
        <v>2.941684E7</v>
      </c>
      <c r="O3" s="32" t="s">
        <v>32</v>
      </c>
      <c r="P3" s="37"/>
      <c r="Q3" s="38"/>
      <c r="R3" s="38"/>
      <c r="S3" s="38"/>
      <c r="T3" s="39"/>
      <c r="U3" s="40">
        <f t="shared" ref="U3:U9" si="1">L3+P3</f>
        <v>60</v>
      </c>
      <c r="V3" s="41">
        <f t="shared" ref="V3:V9" si="2">K3-U3</f>
        <v>90</v>
      </c>
    </row>
    <row r="4">
      <c r="A4" s="42">
        <v>2.0</v>
      </c>
      <c r="B4" s="43" t="s">
        <v>33</v>
      </c>
      <c r="C4" s="44" t="s">
        <v>34</v>
      </c>
      <c r="D4" s="44" t="s">
        <v>35</v>
      </c>
      <c r="E4" s="45">
        <v>1.720920287E9</v>
      </c>
      <c r="F4" s="46">
        <v>5.9396071226E11</v>
      </c>
      <c r="G4" s="44" t="s">
        <v>36</v>
      </c>
      <c r="H4" s="43" t="s">
        <v>29</v>
      </c>
      <c r="I4" s="47" t="s">
        <v>30</v>
      </c>
      <c r="J4" s="48" t="s">
        <v>31</v>
      </c>
      <c r="K4" s="49">
        <v>150.0</v>
      </c>
      <c r="L4" s="50">
        <v>150.0</v>
      </c>
      <c r="M4" s="51">
        <v>46050.0</v>
      </c>
      <c r="N4" s="44"/>
      <c r="O4" s="47" t="s">
        <v>37</v>
      </c>
      <c r="P4" s="52"/>
      <c r="Q4" s="53"/>
      <c r="R4" s="53"/>
      <c r="S4" s="53"/>
      <c r="T4" s="54"/>
      <c r="U4" s="55">
        <f t="shared" si="1"/>
        <v>150</v>
      </c>
      <c r="V4" s="56">
        <f t="shared" si="2"/>
        <v>0</v>
      </c>
    </row>
    <row r="5">
      <c r="A5" s="42">
        <v>3.0</v>
      </c>
      <c r="B5" s="43" t="s">
        <v>38</v>
      </c>
      <c r="C5" s="44" t="s">
        <v>39</v>
      </c>
      <c r="D5" s="44" t="s">
        <v>40</v>
      </c>
      <c r="E5" s="45">
        <v>7.05725109E8</v>
      </c>
      <c r="F5" s="46">
        <v>5.93961476166E11</v>
      </c>
      <c r="G5" s="44" t="s">
        <v>41</v>
      </c>
      <c r="H5" s="43" t="s">
        <v>29</v>
      </c>
      <c r="I5" s="47" t="s">
        <v>30</v>
      </c>
      <c r="J5" s="48" t="s">
        <v>31</v>
      </c>
      <c r="K5" s="49">
        <v>150.0</v>
      </c>
      <c r="L5" s="50">
        <v>60.0</v>
      </c>
      <c r="M5" s="51">
        <v>46071.0</v>
      </c>
      <c r="N5" s="46">
        <v>2.82266464E8</v>
      </c>
      <c r="O5" s="47" t="s">
        <v>32</v>
      </c>
      <c r="P5" s="57">
        <v>90.0</v>
      </c>
      <c r="Q5" s="58">
        <v>45725.0</v>
      </c>
      <c r="R5" s="53"/>
      <c r="S5" s="43">
        <v>1.2825451E8</v>
      </c>
      <c r="T5" s="59" t="s">
        <v>32</v>
      </c>
      <c r="U5" s="55">
        <f t="shared" si="1"/>
        <v>150</v>
      </c>
      <c r="V5" s="56">
        <f t="shared" si="2"/>
        <v>0</v>
      </c>
    </row>
    <row r="6">
      <c r="A6" s="42">
        <v>4.0</v>
      </c>
      <c r="B6" s="43" t="s">
        <v>38</v>
      </c>
      <c r="C6" s="44" t="s">
        <v>42</v>
      </c>
      <c r="D6" s="44" t="s">
        <v>43</v>
      </c>
      <c r="E6" s="45">
        <v>4.02055917E8</v>
      </c>
      <c r="F6" s="46">
        <v>5.93994518399E11</v>
      </c>
      <c r="G6" s="44" t="s">
        <v>44</v>
      </c>
      <c r="H6" s="43" t="s">
        <v>29</v>
      </c>
      <c r="I6" s="47" t="s">
        <v>30</v>
      </c>
      <c r="J6" s="48" t="s">
        <v>31</v>
      </c>
      <c r="K6" s="49">
        <v>150.0</v>
      </c>
      <c r="L6" s="50">
        <v>60.0</v>
      </c>
      <c r="M6" s="51">
        <v>46071.0</v>
      </c>
      <c r="N6" s="46">
        <v>4.6118383E7</v>
      </c>
      <c r="O6" s="47" t="s">
        <v>32</v>
      </c>
      <c r="P6" s="57">
        <v>90.0</v>
      </c>
      <c r="Q6" s="58">
        <v>46091.0</v>
      </c>
      <c r="R6" s="53"/>
      <c r="S6" s="43">
        <v>5.0260167E7</v>
      </c>
      <c r="T6" s="59" t="s">
        <v>32</v>
      </c>
      <c r="U6" s="55">
        <f t="shared" si="1"/>
        <v>150</v>
      </c>
      <c r="V6" s="56">
        <f t="shared" si="2"/>
        <v>0</v>
      </c>
    </row>
    <row r="7">
      <c r="A7" s="42">
        <v>5.0</v>
      </c>
      <c r="B7" s="43" t="s">
        <v>38</v>
      </c>
      <c r="C7" s="44" t="s">
        <v>45</v>
      </c>
      <c r="D7" s="44" t="s">
        <v>46</v>
      </c>
      <c r="E7" s="45">
        <v>6.04714451E8</v>
      </c>
      <c r="F7" s="46">
        <v>5.93967031515E11</v>
      </c>
      <c r="G7" s="44" t="s">
        <v>47</v>
      </c>
      <c r="H7" s="43" t="s">
        <v>29</v>
      </c>
      <c r="I7" s="47" t="s">
        <v>30</v>
      </c>
      <c r="J7" s="48" t="s">
        <v>31</v>
      </c>
      <c r="K7" s="49">
        <v>150.0</v>
      </c>
      <c r="L7" s="50">
        <v>60.0</v>
      </c>
      <c r="M7" s="51">
        <v>46075.0</v>
      </c>
      <c r="N7" s="46">
        <v>2.1528464E7</v>
      </c>
      <c r="O7" s="47" t="s">
        <v>32</v>
      </c>
      <c r="P7" s="57">
        <v>90.0</v>
      </c>
      <c r="Q7" s="58">
        <v>46091.0</v>
      </c>
      <c r="R7" s="53"/>
      <c r="S7" s="43">
        <v>2.1944727E7</v>
      </c>
      <c r="T7" s="59" t="s">
        <v>48</v>
      </c>
      <c r="U7" s="55">
        <f t="shared" si="1"/>
        <v>150</v>
      </c>
      <c r="V7" s="56">
        <f t="shared" si="2"/>
        <v>0</v>
      </c>
    </row>
    <row r="8">
      <c r="A8" s="27">
        <v>6.0</v>
      </c>
      <c r="B8" s="28" t="s">
        <v>38</v>
      </c>
      <c r="C8" s="60" t="s">
        <v>49</v>
      </c>
      <c r="D8" s="29" t="s">
        <v>50</v>
      </c>
      <c r="E8" s="30">
        <v>6.0583636E8</v>
      </c>
      <c r="F8" s="31">
        <v>5.93964079055E11</v>
      </c>
      <c r="G8" s="29" t="s">
        <v>51</v>
      </c>
      <c r="H8" s="28" t="s">
        <v>29</v>
      </c>
      <c r="I8" s="32" t="s">
        <v>30</v>
      </c>
      <c r="J8" s="33" t="s">
        <v>31</v>
      </c>
      <c r="K8" s="34">
        <v>150.0</v>
      </c>
      <c r="L8" s="35">
        <v>60.0</v>
      </c>
      <c r="M8" s="36">
        <v>46075.0</v>
      </c>
      <c r="N8" s="31">
        <v>9.187839E7</v>
      </c>
      <c r="O8" s="32" t="s">
        <v>32</v>
      </c>
      <c r="P8" s="37"/>
      <c r="Q8" s="38"/>
      <c r="R8" s="38"/>
      <c r="S8" s="38"/>
      <c r="T8" s="39"/>
      <c r="U8" s="40">
        <f t="shared" si="1"/>
        <v>60</v>
      </c>
      <c r="V8" s="41">
        <f t="shared" si="2"/>
        <v>90</v>
      </c>
    </row>
    <row r="9">
      <c r="A9" s="42">
        <v>7.0</v>
      </c>
      <c r="B9" s="43" t="s">
        <v>38</v>
      </c>
      <c r="C9" s="44" t="s">
        <v>52</v>
      </c>
      <c r="D9" s="44" t="s">
        <v>53</v>
      </c>
      <c r="E9" s="45" t="s">
        <v>54</v>
      </c>
      <c r="F9" s="46">
        <v>5.93960268413E11</v>
      </c>
      <c r="G9" s="44" t="s">
        <v>55</v>
      </c>
      <c r="H9" s="43" t="s">
        <v>29</v>
      </c>
      <c r="I9" s="47" t="s">
        <v>30</v>
      </c>
      <c r="J9" s="48" t="s">
        <v>31</v>
      </c>
      <c r="K9" s="49">
        <v>150.0</v>
      </c>
      <c r="L9" s="50">
        <v>60.0</v>
      </c>
      <c r="M9" s="51">
        <v>46077.0</v>
      </c>
      <c r="N9" s="46">
        <v>1.69708154E8</v>
      </c>
      <c r="O9" s="47" t="s">
        <v>32</v>
      </c>
      <c r="P9" s="57">
        <v>90.0</v>
      </c>
      <c r="Q9" s="61">
        <v>46091.0</v>
      </c>
      <c r="R9" s="62"/>
      <c r="S9" s="42">
        <v>9647060.0</v>
      </c>
      <c r="T9" s="63" t="s">
        <v>56</v>
      </c>
      <c r="U9" s="55">
        <f t="shared" si="1"/>
        <v>150</v>
      </c>
      <c r="V9" s="56">
        <f t="shared" si="2"/>
        <v>0</v>
      </c>
    </row>
  </sheetData>
  <mergeCells count="5">
    <mergeCell ref="A1:F1"/>
    <mergeCell ref="J1:K1"/>
    <mergeCell ref="L1:O1"/>
    <mergeCell ref="P1:T1"/>
    <mergeCell ref="U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15.0"/>
    <col customWidth="1" min="4" max="4" width="14.88"/>
    <col customWidth="1" min="7" max="7" width="21.0"/>
    <col customWidth="1" min="8" max="8" width="15.13"/>
    <col customWidth="1" min="9" max="9" width="10.25"/>
    <col customWidth="1" min="12" max="13" width="8.88"/>
    <col customWidth="1" min="14" max="14" width="10.75"/>
    <col customWidth="1" min="15" max="15" width="5.88"/>
    <col customWidth="1" min="16" max="16" width="8.5"/>
    <col customWidth="1" min="17" max="17" width="7.88"/>
    <col customWidth="1" min="18" max="18" width="2.63"/>
    <col customWidth="1" min="19" max="19" width="10.0"/>
    <col customWidth="1" min="20" max="20" width="4.75"/>
    <col customWidth="1" min="21" max="21" width="8.0"/>
    <col customWidth="1" min="22" max="22" width="8.25"/>
    <col customWidth="1" min="23" max="23" width="3.13"/>
    <col customWidth="1" min="24" max="24" width="8.38"/>
    <col customWidth="1" min="25" max="25" width="4.75"/>
    <col customWidth="1" min="26" max="26" width="7.5"/>
    <col customWidth="1" min="27" max="27" width="8.38"/>
    <col customWidth="1" min="28" max="28" width="2.75"/>
    <col customWidth="1" min="29" max="29" width="9.63"/>
    <col customWidth="1" min="30" max="30" width="4.75"/>
  </cols>
  <sheetData>
    <row r="1">
      <c r="A1" s="1"/>
      <c r="B1" s="2"/>
      <c r="C1" s="2"/>
      <c r="D1" s="2"/>
      <c r="E1" s="2"/>
      <c r="F1" s="2"/>
      <c r="G1" s="3"/>
      <c r="H1" s="3"/>
      <c r="I1" s="4"/>
      <c r="J1" s="5" t="s">
        <v>0</v>
      </c>
      <c r="K1" s="2"/>
      <c r="L1" s="5" t="s">
        <v>1</v>
      </c>
      <c r="M1" s="2"/>
      <c r="N1" s="2"/>
      <c r="O1" s="6"/>
      <c r="P1" s="7" t="s">
        <v>2</v>
      </c>
      <c r="Q1" s="8"/>
      <c r="R1" s="8"/>
      <c r="S1" s="8"/>
      <c r="T1" s="9"/>
      <c r="U1" s="7" t="s">
        <v>2</v>
      </c>
      <c r="V1" s="8"/>
      <c r="W1" s="8"/>
      <c r="X1" s="8"/>
      <c r="Y1" s="9"/>
      <c r="Z1" s="64" t="s">
        <v>2</v>
      </c>
      <c r="AA1" s="8"/>
      <c r="AB1" s="8"/>
      <c r="AC1" s="8"/>
      <c r="AD1" s="65"/>
      <c r="AE1" s="10" t="s">
        <v>3</v>
      </c>
      <c r="AF1" s="11"/>
    </row>
    <row r="2">
      <c r="A2" s="66" t="s">
        <v>4</v>
      </c>
      <c r="B2" s="67" t="s">
        <v>5</v>
      </c>
      <c r="C2" s="68" t="s">
        <v>6</v>
      </c>
      <c r="D2" s="68" t="s">
        <v>7</v>
      </c>
      <c r="E2" s="66" t="s">
        <v>8</v>
      </c>
      <c r="F2" s="66" t="s">
        <v>9</v>
      </c>
      <c r="G2" s="67" t="s">
        <v>10</v>
      </c>
      <c r="H2" s="67" t="s">
        <v>11</v>
      </c>
      <c r="I2" s="69" t="s">
        <v>12</v>
      </c>
      <c r="J2" s="70" t="s">
        <v>13</v>
      </c>
      <c r="K2" s="71" t="s">
        <v>0</v>
      </c>
      <c r="L2" s="72" t="s">
        <v>14</v>
      </c>
      <c r="M2" s="67" t="s">
        <v>15</v>
      </c>
      <c r="N2" s="67" t="s">
        <v>16</v>
      </c>
      <c r="O2" s="73" t="s">
        <v>17</v>
      </c>
      <c r="P2" s="74" t="s">
        <v>18</v>
      </c>
      <c r="Q2" s="75" t="s">
        <v>19</v>
      </c>
      <c r="R2" s="76" t="s">
        <v>20</v>
      </c>
      <c r="S2" s="77" t="s">
        <v>21</v>
      </c>
      <c r="T2" s="78" t="s">
        <v>22</v>
      </c>
      <c r="U2" s="79" t="s">
        <v>57</v>
      </c>
      <c r="V2" s="75" t="s">
        <v>19</v>
      </c>
      <c r="W2" s="76" t="s">
        <v>20</v>
      </c>
      <c r="X2" s="77" t="s">
        <v>21</v>
      </c>
      <c r="Y2" s="80" t="s">
        <v>22</v>
      </c>
      <c r="Z2" s="79" t="s">
        <v>58</v>
      </c>
      <c r="AA2" s="75" t="s">
        <v>19</v>
      </c>
      <c r="AB2" s="76" t="s">
        <v>20</v>
      </c>
      <c r="AC2" s="77" t="s">
        <v>21</v>
      </c>
      <c r="AD2" s="78" t="s">
        <v>22</v>
      </c>
      <c r="AE2" s="25" t="s">
        <v>23</v>
      </c>
      <c r="AF2" s="26" t="s">
        <v>24</v>
      </c>
    </row>
    <row r="3">
      <c r="A3" s="81">
        <v>1.0</v>
      </c>
      <c r="B3" s="82" t="s">
        <v>59</v>
      </c>
      <c r="C3" s="82" t="s">
        <v>60</v>
      </c>
      <c r="D3" s="83" t="s">
        <v>61</v>
      </c>
      <c r="E3" s="84">
        <v>1.314726447E9</v>
      </c>
      <c r="F3" s="81" t="s">
        <v>62</v>
      </c>
      <c r="G3" s="82" t="s">
        <v>63</v>
      </c>
      <c r="H3" s="82" t="s">
        <v>64</v>
      </c>
      <c r="I3" s="85" t="s">
        <v>65</v>
      </c>
      <c r="J3" s="86" t="s">
        <v>31</v>
      </c>
      <c r="K3" s="87">
        <v>750.0</v>
      </c>
      <c r="L3" s="88">
        <v>750.0</v>
      </c>
      <c r="M3" s="89">
        <v>46086.0</v>
      </c>
      <c r="N3" s="90"/>
      <c r="O3" s="85"/>
      <c r="P3" s="91"/>
      <c r="Q3" s="82"/>
      <c r="R3" s="92"/>
      <c r="S3" s="92"/>
      <c r="T3" s="93"/>
      <c r="U3" s="94"/>
      <c r="V3" s="92"/>
      <c r="W3" s="81"/>
      <c r="X3" s="81"/>
      <c r="Y3" s="95"/>
      <c r="Z3" s="91"/>
      <c r="AA3" s="81"/>
      <c r="AB3" s="81"/>
      <c r="AC3" s="81"/>
      <c r="AD3" s="96"/>
      <c r="AE3" s="97">
        <f t="shared" ref="AE3:AE8" si="1">L3+P3+U3+Z3</f>
        <v>750</v>
      </c>
      <c r="AF3" s="98">
        <f t="shared" ref="AF3:AF8" si="2">K3-AE3</f>
        <v>0</v>
      </c>
    </row>
    <row r="4">
      <c r="A4" s="81">
        <v>2.0</v>
      </c>
      <c r="B4" s="82" t="s">
        <v>59</v>
      </c>
      <c r="C4" s="82" t="s">
        <v>66</v>
      </c>
      <c r="D4" s="82" t="s">
        <v>67</v>
      </c>
      <c r="E4" s="84">
        <v>1.316282662E9</v>
      </c>
      <c r="F4" s="82"/>
      <c r="G4" s="82" t="s">
        <v>68</v>
      </c>
      <c r="H4" s="82" t="s">
        <v>69</v>
      </c>
      <c r="I4" s="85" t="s">
        <v>65</v>
      </c>
      <c r="J4" s="86" t="s">
        <v>31</v>
      </c>
      <c r="K4" s="87">
        <v>750.0</v>
      </c>
      <c r="L4" s="88">
        <v>750.0</v>
      </c>
      <c r="M4" s="89">
        <v>46086.0</v>
      </c>
      <c r="N4" s="90"/>
      <c r="O4" s="85"/>
      <c r="P4" s="91"/>
      <c r="Q4" s="82"/>
      <c r="R4" s="92"/>
      <c r="S4" s="92"/>
      <c r="T4" s="93"/>
      <c r="U4" s="94"/>
      <c r="V4" s="92"/>
      <c r="W4" s="81"/>
      <c r="X4" s="81"/>
      <c r="Y4" s="95"/>
      <c r="Z4" s="91"/>
      <c r="AA4" s="81"/>
      <c r="AB4" s="81"/>
      <c r="AC4" s="81"/>
      <c r="AD4" s="96"/>
      <c r="AE4" s="97">
        <f t="shared" si="1"/>
        <v>750</v>
      </c>
      <c r="AF4" s="98">
        <f t="shared" si="2"/>
        <v>0</v>
      </c>
    </row>
    <row r="5">
      <c r="A5" s="99">
        <v>1.0</v>
      </c>
      <c r="B5" s="82" t="s">
        <v>59</v>
      </c>
      <c r="C5" s="82" t="s">
        <v>70</v>
      </c>
      <c r="D5" s="100" t="s">
        <v>71</v>
      </c>
      <c r="E5" s="84">
        <v>1.727150268E9</v>
      </c>
      <c r="F5" s="81">
        <v>9.98643282E8</v>
      </c>
      <c r="G5" s="82" t="s">
        <v>72</v>
      </c>
      <c r="H5" s="82" t="s">
        <v>73</v>
      </c>
      <c r="I5" s="85" t="s">
        <v>65</v>
      </c>
      <c r="J5" s="86" t="s">
        <v>31</v>
      </c>
      <c r="K5" s="87">
        <v>800.0</v>
      </c>
      <c r="L5" s="88">
        <v>150.0</v>
      </c>
      <c r="M5" s="89">
        <v>46118.0</v>
      </c>
      <c r="N5" s="81"/>
      <c r="O5" s="101"/>
      <c r="P5" s="102"/>
      <c r="Q5" s="82"/>
      <c r="R5" s="92"/>
      <c r="S5" s="92"/>
      <c r="T5" s="93"/>
      <c r="U5" s="94"/>
      <c r="V5" s="92"/>
      <c r="W5" s="82"/>
      <c r="X5" s="82"/>
      <c r="Y5" s="85"/>
      <c r="Z5" s="102"/>
      <c r="AA5" s="82"/>
      <c r="AB5" s="82"/>
      <c r="AC5" s="82"/>
      <c r="AD5" s="103"/>
      <c r="AE5" s="97">
        <f t="shared" si="1"/>
        <v>150</v>
      </c>
      <c r="AF5" s="98">
        <f t="shared" si="2"/>
        <v>650</v>
      </c>
    </row>
    <row r="6">
      <c r="A6" s="99">
        <v>2.0</v>
      </c>
      <c r="B6" s="82" t="s">
        <v>74</v>
      </c>
      <c r="C6" s="82" t="s">
        <v>75</v>
      </c>
      <c r="D6" s="82" t="s">
        <v>76</v>
      </c>
      <c r="E6" s="84">
        <v>6.04374769E8</v>
      </c>
      <c r="F6" s="81">
        <v>9.60946469E8</v>
      </c>
      <c r="G6" s="82" t="s">
        <v>77</v>
      </c>
      <c r="H6" s="82" t="s">
        <v>78</v>
      </c>
      <c r="I6" s="85" t="s">
        <v>65</v>
      </c>
      <c r="J6" s="86" t="s">
        <v>31</v>
      </c>
      <c r="K6" s="87">
        <v>700.0</v>
      </c>
      <c r="L6" s="88">
        <v>150.0</v>
      </c>
      <c r="M6" s="89">
        <v>46118.0</v>
      </c>
      <c r="N6" s="90"/>
      <c r="O6" s="101"/>
      <c r="P6" s="102"/>
      <c r="Q6" s="82"/>
      <c r="R6" s="92"/>
      <c r="S6" s="92"/>
      <c r="T6" s="93"/>
      <c r="U6" s="94"/>
      <c r="V6" s="92"/>
      <c r="W6" s="82"/>
      <c r="X6" s="82"/>
      <c r="Y6" s="85"/>
      <c r="Z6" s="102"/>
      <c r="AA6" s="82"/>
      <c r="AB6" s="82"/>
      <c r="AC6" s="82"/>
      <c r="AD6" s="103"/>
      <c r="AE6" s="97">
        <f t="shared" si="1"/>
        <v>150</v>
      </c>
      <c r="AF6" s="98">
        <f t="shared" si="2"/>
        <v>550</v>
      </c>
    </row>
    <row r="7">
      <c r="A7" s="99">
        <v>3.0</v>
      </c>
      <c r="B7" s="82" t="s">
        <v>79</v>
      </c>
      <c r="C7" s="82" t="s">
        <v>80</v>
      </c>
      <c r="D7" s="82" t="s">
        <v>81</v>
      </c>
      <c r="E7" s="84">
        <v>1.72684118E9</v>
      </c>
      <c r="F7" s="81">
        <v>9.87406078E8</v>
      </c>
      <c r="G7" s="82" t="s">
        <v>82</v>
      </c>
      <c r="H7" s="82" t="s">
        <v>83</v>
      </c>
      <c r="I7" s="85" t="s">
        <v>65</v>
      </c>
      <c r="J7" s="86" t="s">
        <v>31</v>
      </c>
      <c r="K7" s="87">
        <v>700.0</v>
      </c>
      <c r="L7" s="88">
        <v>150.0</v>
      </c>
      <c r="M7" s="89">
        <v>46119.0</v>
      </c>
      <c r="N7" s="90"/>
      <c r="O7" s="101"/>
      <c r="P7" s="102"/>
      <c r="Q7" s="82"/>
      <c r="R7" s="92"/>
      <c r="S7" s="92"/>
      <c r="T7" s="93"/>
      <c r="U7" s="94"/>
      <c r="V7" s="92"/>
      <c r="W7" s="82"/>
      <c r="X7" s="82"/>
      <c r="Y7" s="85"/>
      <c r="Z7" s="102"/>
      <c r="AA7" s="82"/>
      <c r="AB7" s="82"/>
      <c r="AC7" s="82"/>
      <c r="AD7" s="103"/>
      <c r="AE7" s="97">
        <f t="shared" si="1"/>
        <v>150</v>
      </c>
      <c r="AF7" s="98">
        <f t="shared" si="2"/>
        <v>550</v>
      </c>
    </row>
    <row r="8">
      <c r="A8" s="99">
        <v>4.0</v>
      </c>
      <c r="B8" s="82" t="s">
        <v>84</v>
      </c>
      <c r="C8" s="82" t="s">
        <v>85</v>
      </c>
      <c r="D8" s="82" t="s">
        <v>86</v>
      </c>
      <c r="E8" s="84">
        <v>1.726085135E9</v>
      </c>
      <c r="F8" s="81">
        <v>9.92534704E8</v>
      </c>
      <c r="G8" s="82" t="s">
        <v>87</v>
      </c>
      <c r="H8" s="82" t="s">
        <v>69</v>
      </c>
      <c r="I8" s="85" t="s">
        <v>65</v>
      </c>
      <c r="J8" s="86" t="s">
        <v>31</v>
      </c>
      <c r="K8" s="87">
        <v>750.0</v>
      </c>
      <c r="L8" s="88">
        <v>50.0</v>
      </c>
      <c r="M8" s="89">
        <v>46119.0</v>
      </c>
      <c r="N8" s="81"/>
      <c r="O8" s="101"/>
      <c r="P8" s="102"/>
      <c r="Q8" s="82"/>
      <c r="R8" s="92"/>
      <c r="S8" s="92"/>
      <c r="T8" s="93"/>
      <c r="U8" s="94"/>
      <c r="V8" s="92"/>
      <c r="W8" s="82"/>
      <c r="X8" s="82"/>
      <c r="Y8" s="85"/>
      <c r="Z8" s="102"/>
      <c r="AA8" s="82"/>
      <c r="AB8" s="82"/>
      <c r="AC8" s="82"/>
      <c r="AD8" s="103"/>
      <c r="AE8" s="97">
        <f t="shared" si="1"/>
        <v>50</v>
      </c>
      <c r="AF8" s="98">
        <f t="shared" si="2"/>
        <v>700</v>
      </c>
    </row>
  </sheetData>
  <mergeCells count="7">
    <mergeCell ref="A1:F1"/>
    <mergeCell ref="J1:K1"/>
    <mergeCell ref="L1:O1"/>
    <mergeCell ref="P1:T1"/>
    <mergeCell ref="U1:Y1"/>
    <mergeCell ref="Z1:AD1"/>
    <mergeCell ref="AE1:A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15.0"/>
    <col customWidth="1" min="4" max="4" width="14.88"/>
    <col customWidth="1" min="7" max="7" width="21.0"/>
    <col customWidth="1" min="8" max="8" width="7.38"/>
    <col customWidth="1" min="9" max="9" width="17.13"/>
    <col customWidth="1" min="12" max="12" width="8.88"/>
    <col customWidth="1" min="13" max="13" width="9.88"/>
    <col customWidth="1" min="14" max="14" width="10.75"/>
    <col customWidth="1" min="15" max="15" width="5.88"/>
    <col customWidth="1" min="16" max="16" width="8.5"/>
    <col customWidth="1" min="17" max="17" width="7.88"/>
    <col customWidth="1" min="18" max="18" width="2.0"/>
    <col customWidth="1" min="19" max="19" width="10.0"/>
    <col customWidth="1" min="20" max="20" width="4.75"/>
    <col customWidth="1" min="21" max="22" width="7.25"/>
    <col customWidth="1" min="23" max="25" width="4.75"/>
  </cols>
  <sheetData>
    <row r="1">
      <c r="A1" s="104"/>
      <c r="B1" s="2"/>
      <c r="C1" s="2"/>
      <c r="D1" s="2"/>
      <c r="E1" s="2"/>
      <c r="F1" s="2"/>
      <c r="G1" s="105"/>
      <c r="H1" s="105"/>
      <c r="I1" s="106"/>
      <c r="J1" s="107" t="s">
        <v>0</v>
      </c>
      <c r="K1" s="2"/>
      <c r="L1" s="107" t="s">
        <v>1</v>
      </c>
      <c r="M1" s="2"/>
      <c r="N1" s="2"/>
      <c r="O1" s="6"/>
      <c r="P1" s="108" t="s">
        <v>88</v>
      </c>
      <c r="Q1" s="8"/>
      <c r="R1" s="8"/>
      <c r="S1" s="8"/>
      <c r="T1" s="65"/>
      <c r="U1" s="109" t="s">
        <v>89</v>
      </c>
      <c r="V1" s="8"/>
      <c r="W1" s="8"/>
      <c r="X1" s="8"/>
      <c r="Y1" s="9"/>
      <c r="Z1" s="110" t="s">
        <v>3</v>
      </c>
      <c r="AA1" s="11"/>
    </row>
    <row r="2">
      <c r="A2" s="111" t="s">
        <v>4</v>
      </c>
      <c r="B2" s="112" t="s">
        <v>5</v>
      </c>
      <c r="C2" s="113" t="s">
        <v>6</v>
      </c>
      <c r="D2" s="113" t="s">
        <v>7</v>
      </c>
      <c r="E2" s="111" t="s">
        <v>8</v>
      </c>
      <c r="F2" s="111" t="s">
        <v>9</v>
      </c>
      <c r="G2" s="112" t="s">
        <v>10</v>
      </c>
      <c r="H2" s="112" t="s">
        <v>11</v>
      </c>
      <c r="I2" s="114" t="s">
        <v>12</v>
      </c>
      <c r="J2" s="115" t="s">
        <v>13</v>
      </c>
      <c r="K2" s="116" t="s">
        <v>0</v>
      </c>
      <c r="L2" s="117" t="s">
        <v>14</v>
      </c>
      <c r="M2" s="112" t="s">
        <v>15</v>
      </c>
      <c r="N2" s="118" t="s">
        <v>21</v>
      </c>
      <c r="O2" s="119" t="s">
        <v>17</v>
      </c>
      <c r="P2" s="120" t="s">
        <v>18</v>
      </c>
      <c r="Q2" s="121" t="s">
        <v>19</v>
      </c>
      <c r="R2" s="122" t="s">
        <v>20</v>
      </c>
      <c r="S2" s="118" t="s">
        <v>21</v>
      </c>
      <c r="T2" s="123" t="s">
        <v>22</v>
      </c>
      <c r="U2" s="124" t="s">
        <v>57</v>
      </c>
      <c r="V2" s="121" t="s">
        <v>19</v>
      </c>
      <c r="W2" s="122" t="s">
        <v>20</v>
      </c>
      <c r="X2" s="118" t="s">
        <v>21</v>
      </c>
      <c r="Y2" s="125" t="s">
        <v>22</v>
      </c>
      <c r="Z2" s="126" t="s">
        <v>23</v>
      </c>
      <c r="AA2" s="127" t="s">
        <v>24</v>
      </c>
    </row>
    <row r="3">
      <c r="A3" s="128">
        <v>1.0</v>
      </c>
      <c r="B3" s="129" t="s">
        <v>79</v>
      </c>
      <c r="C3" s="129" t="s">
        <v>90</v>
      </c>
      <c r="D3" s="130" t="s">
        <v>91</v>
      </c>
      <c r="E3" s="131">
        <v>1.804429577E9</v>
      </c>
      <c r="F3" s="132">
        <v>9.59867234E8</v>
      </c>
      <c r="G3" s="129" t="s">
        <v>92</v>
      </c>
      <c r="H3" s="129"/>
      <c r="I3" s="133" t="s">
        <v>30</v>
      </c>
      <c r="J3" s="134" t="s">
        <v>93</v>
      </c>
      <c r="K3" s="135">
        <v>400.0</v>
      </c>
      <c r="L3" s="136">
        <v>80.0</v>
      </c>
      <c r="M3" s="137">
        <v>46065.0</v>
      </c>
      <c r="N3" s="128"/>
      <c r="O3" s="138"/>
      <c r="P3" s="139"/>
      <c r="Q3" s="140"/>
      <c r="R3" s="141"/>
      <c r="S3" s="142"/>
      <c r="T3" s="143"/>
      <c r="U3" s="144"/>
      <c r="V3" s="142"/>
      <c r="W3" s="142"/>
      <c r="X3" s="142"/>
      <c r="Y3" s="145"/>
      <c r="Z3" s="146">
        <f t="shared" ref="Z3:Z20" si="1">L3+P3+U3</f>
        <v>80</v>
      </c>
      <c r="AA3" s="147">
        <f t="shared" ref="AA3:AA20" si="2">K3-Z3</f>
        <v>320</v>
      </c>
    </row>
    <row r="4">
      <c r="A4" s="128">
        <v>2.0</v>
      </c>
      <c r="B4" s="129" t="s">
        <v>94</v>
      </c>
      <c r="C4" s="129" t="s">
        <v>95</v>
      </c>
      <c r="D4" s="129" t="s">
        <v>96</v>
      </c>
      <c r="E4" s="131">
        <v>1.314896984E9</v>
      </c>
      <c r="F4" s="128">
        <v>9.79021351E8</v>
      </c>
      <c r="G4" s="129" t="s">
        <v>97</v>
      </c>
      <c r="H4" s="129"/>
      <c r="I4" s="133" t="s">
        <v>98</v>
      </c>
      <c r="J4" s="134" t="s">
        <v>93</v>
      </c>
      <c r="K4" s="135">
        <v>360.0</v>
      </c>
      <c r="L4" s="148">
        <v>80.0</v>
      </c>
      <c r="M4" s="137">
        <v>46079.0</v>
      </c>
      <c r="N4" s="128"/>
      <c r="O4" s="138"/>
      <c r="P4" s="139"/>
      <c r="Q4" s="140"/>
      <c r="R4" s="141"/>
      <c r="S4" s="142"/>
      <c r="T4" s="143"/>
      <c r="U4" s="144"/>
      <c r="V4" s="142"/>
      <c r="W4" s="142"/>
      <c r="X4" s="142"/>
      <c r="Y4" s="145"/>
      <c r="Z4" s="146">
        <f t="shared" si="1"/>
        <v>80</v>
      </c>
      <c r="AA4" s="147">
        <f t="shared" si="2"/>
        <v>280</v>
      </c>
    </row>
    <row r="5">
      <c r="A5" s="128">
        <v>3.0</v>
      </c>
      <c r="B5" s="129" t="s">
        <v>94</v>
      </c>
      <c r="C5" s="129" t="s">
        <v>99</v>
      </c>
      <c r="D5" s="129" t="s">
        <v>100</v>
      </c>
      <c r="E5" s="131">
        <v>9.27790303E8</v>
      </c>
      <c r="F5" s="128">
        <v>9.87435981E8</v>
      </c>
      <c r="G5" s="129" t="s">
        <v>101</v>
      </c>
      <c r="H5" s="129"/>
      <c r="I5" s="133" t="s">
        <v>98</v>
      </c>
      <c r="J5" s="134" t="s">
        <v>93</v>
      </c>
      <c r="K5" s="135">
        <v>405.0</v>
      </c>
      <c r="L5" s="148">
        <v>80.0</v>
      </c>
      <c r="M5" s="137">
        <v>46079.0</v>
      </c>
      <c r="N5" s="128"/>
      <c r="O5" s="138"/>
      <c r="P5" s="139"/>
      <c r="Q5" s="140"/>
      <c r="R5" s="141"/>
      <c r="S5" s="142"/>
      <c r="T5" s="143"/>
      <c r="U5" s="144"/>
      <c r="V5" s="142"/>
      <c r="W5" s="142"/>
      <c r="X5" s="142"/>
      <c r="Y5" s="145"/>
      <c r="Z5" s="146">
        <f t="shared" si="1"/>
        <v>80</v>
      </c>
      <c r="AA5" s="147">
        <f t="shared" si="2"/>
        <v>325</v>
      </c>
    </row>
    <row r="6">
      <c r="A6" s="128">
        <v>4.0</v>
      </c>
      <c r="B6" s="129" t="s">
        <v>94</v>
      </c>
      <c r="C6" s="129" t="s">
        <v>102</v>
      </c>
      <c r="D6" s="129" t="s">
        <v>103</v>
      </c>
      <c r="E6" s="131">
        <v>9.52015147E8</v>
      </c>
      <c r="F6" s="128">
        <v>9.85119284E8</v>
      </c>
      <c r="G6" s="129" t="s">
        <v>104</v>
      </c>
      <c r="H6" s="129"/>
      <c r="I6" s="133" t="s">
        <v>98</v>
      </c>
      <c r="J6" s="134" t="s">
        <v>93</v>
      </c>
      <c r="K6" s="135">
        <v>405.0</v>
      </c>
      <c r="L6" s="148">
        <v>80.0</v>
      </c>
      <c r="M6" s="137">
        <v>46080.0</v>
      </c>
      <c r="N6" s="128"/>
      <c r="O6" s="138"/>
      <c r="P6" s="139"/>
      <c r="Q6" s="140"/>
      <c r="R6" s="141"/>
      <c r="S6" s="142"/>
      <c r="T6" s="143"/>
      <c r="U6" s="144"/>
      <c r="V6" s="142"/>
      <c r="W6" s="142"/>
      <c r="X6" s="142"/>
      <c r="Y6" s="145"/>
      <c r="Z6" s="146">
        <f t="shared" si="1"/>
        <v>80</v>
      </c>
      <c r="AA6" s="147">
        <f t="shared" si="2"/>
        <v>325</v>
      </c>
    </row>
    <row r="7">
      <c r="A7" s="128">
        <v>5.0</v>
      </c>
      <c r="B7" s="129" t="s">
        <v>94</v>
      </c>
      <c r="C7" s="129" t="s">
        <v>105</v>
      </c>
      <c r="D7" s="129" t="s">
        <v>106</v>
      </c>
      <c r="E7" s="131">
        <v>9.29247096E8</v>
      </c>
      <c r="F7" s="128">
        <v>9.87931011E8</v>
      </c>
      <c r="G7" s="129" t="s">
        <v>107</v>
      </c>
      <c r="H7" s="129"/>
      <c r="I7" s="133" t="s">
        <v>98</v>
      </c>
      <c r="J7" s="134" t="s">
        <v>93</v>
      </c>
      <c r="K7" s="135">
        <v>405.0</v>
      </c>
      <c r="L7" s="148">
        <v>80.0</v>
      </c>
      <c r="M7" s="137">
        <v>46080.0</v>
      </c>
      <c r="N7" s="128"/>
      <c r="O7" s="138"/>
      <c r="P7" s="139"/>
      <c r="Q7" s="140"/>
      <c r="R7" s="141"/>
      <c r="S7" s="142"/>
      <c r="T7" s="143"/>
      <c r="U7" s="144"/>
      <c r="V7" s="142"/>
      <c r="W7" s="142"/>
      <c r="X7" s="142"/>
      <c r="Y7" s="145"/>
      <c r="Z7" s="146">
        <f t="shared" si="1"/>
        <v>80</v>
      </c>
      <c r="AA7" s="147">
        <f t="shared" si="2"/>
        <v>325</v>
      </c>
    </row>
    <row r="8">
      <c r="A8" s="128">
        <v>6.0</v>
      </c>
      <c r="B8" s="129" t="s">
        <v>94</v>
      </c>
      <c r="C8" s="140" t="s">
        <v>108</v>
      </c>
      <c r="D8" s="129" t="s">
        <v>109</v>
      </c>
      <c r="E8" s="131">
        <v>9.25101032E8</v>
      </c>
      <c r="F8" s="128">
        <v>9.94208605E8</v>
      </c>
      <c r="G8" s="129" t="s">
        <v>110</v>
      </c>
      <c r="H8" s="129"/>
      <c r="I8" s="133" t="s">
        <v>98</v>
      </c>
      <c r="J8" s="134" t="s">
        <v>93</v>
      </c>
      <c r="K8" s="135">
        <v>405.0</v>
      </c>
      <c r="L8" s="148">
        <v>80.0</v>
      </c>
      <c r="M8" s="137">
        <v>46080.0</v>
      </c>
      <c r="N8" s="128"/>
      <c r="O8" s="138"/>
      <c r="P8" s="139"/>
      <c r="Q8" s="140"/>
      <c r="R8" s="141"/>
      <c r="S8" s="142"/>
      <c r="T8" s="143"/>
      <c r="U8" s="144"/>
      <c r="V8" s="142"/>
      <c r="W8" s="142"/>
      <c r="X8" s="142"/>
      <c r="Y8" s="145"/>
      <c r="Z8" s="146">
        <f t="shared" si="1"/>
        <v>80</v>
      </c>
      <c r="AA8" s="147">
        <f t="shared" si="2"/>
        <v>325</v>
      </c>
    </row>
    <row r="9">
      <c r="A9" s="128">
        <v>7.0</v>
      </c>
      <c r="B9" s="129" t="s">
        <v>94</v>
      </c>
      <c r="C9" s="129" t="s">
        <v>111</v>
      </c>
      <c r="D9" s="129" t="s">
        <v>112</v>
      </c>
      <c r="E9" s="131">
        <v>1.51430295E8</v>
      </c>
      <c r="F9" s="128">
        <v>9.9507654E8</v>
      </c>
      <c r="G9" s="129" t="s">
        <v>113</v>
      </c>
      <c r="H9" s="129"/>
      <c r="I9" s="133" t="s">
        <v>98</v>
      </c>
      <c r="J9" s="134" t="s">
        <v>93</v>
      </c>
      <c r="K9" s="135">
        <v>405.0</v>
      </c>
      <c r="L9" s="148">
        <v>80.0</v>
      </c>
      <c r="M9" s="137">
        <v>46080.0</v>
      </c>
      <c r="N9" s="128"/>
      <c r="O9" s="138"/>
      <c r="P9" s="139"/>
      <c r="Q9" s="140"/>
      <c r="R9" s="141"/>
      <c r="S9" s="142"/>
      <c r="T9" s="143"/>
      <c r="U9" s="144"/>
      <c r="V9" s="142"/>
      <c r="W9" s="142"/>
      <c r="X9" s="142"/>
      <c r="Y9" s="145"/>
      <c r="Z9" s="146">
        <f t="shared" si="1"/>
        <v>80</v>
      </c>
      <c r="AA9" s="147">
        <f t="shared" si="2"/>
        <v>325</v>
      </c>
    </row>
    <row r="10">
      <c r="A10" s="128">
        <v>8.0</v>
      </c>
      <c r="B10" s="129" t="s">
        <v>94</v>
      </c>
      <c r="C10" s="129" t="s">
        <v>114</v>
      </c>
      <c r="D10" s="129" t="s">
        <v>115</v>
      </c>
      <c r="E10" s="131">
        <v>5.04824434E8</v>
      </c>
      <c r="F10" s="128">
        <v>9.91786498E8</v>
      </c>
      <c r="G10" s="129" t="s">
        <v>116</v>
      </c>
      <c r="H10" s="129"/>
      <c r="I10" s="133" t="s">
        <v>98</v>
      </c>
      <c r="J10" s="134" t="s">
        <v>93</v>
      </c>
      <c r="K10" s="135">
        <v>405.0</v>
      </c>
      <c r="L10" s="148">
        <v>80.0</v>
      </c>
      <c r="M10" s="137">
        <v>46080.0</v>
      </c>
      <c r="N10" s="128"/>
      <c r="O10" s="138"/>
      <c r="P10" s="139"/>
      <c r="Q10" s="140"/>
      <c r="R10" s="141"/>
      <c r="S10" s="142"/>
      <c r="T10" s="143"/>
      <c r="U10" s="144"/>
      <c r="V10" s="142"/>
      <c r="W10" s="142"/>
      <c r="X10" s="142"/>
      <c r="Y10" s="145"/>
      <c r="Z10" s="146">
        <f t="shared" si="1"/>
        <v>80</v>
      </c>
      <c r="AA10" s="147">
        <f t="shared" si="2"/>
        <v>325</v>
      </c>
    </row>
    <row r="11">
      <c r="A11" s="128">
        <v>9.0</v>
      </c>
      <c r="B11" s="129" t="s">
        <v>79</v>
      </c>
      <c r="C11" s="129" t="s">
        <v>117</v>
      </c>
      <c r="D11" s="129" t="s">
        <v>118</v>
      </c>
      <c r="E11" s="131">
        <v>9.32617277E8</v>
      </c>
      <c r="F11" s="128">
        <v>9.84091288E8</v>
      </c>
      <c r="G11" s="149" t="s">
        <v>119</v>
      </c>
      <c r="H11" s="129"/>
      <c r="I11" s="133" t="s">
        <v>120</v>
      </c>
      <c r="J11" s="134" t="s">
        <v>93</v>
      </c>
      <c r="K11" s="135">
        <v>400.0</v>
      </c>
      <c r="L11" s="150">
        <v>30.0</v>
      </c>
      <c r="M11" s="137">
        <v>46108.0</v>
      </c>
      <c r="N11" s="128"/>
      <c r="O11" s="151"/>
      <c r="P11" s="139"/>
      <c r="Q11" s="140"/>
      <c r="R11" s="141"/>
      <c r="S11" s="142"/>
      <c r="T11" s="143"/>
      <c r="U11" s="144"/>
      <c r="V11" s="142"/>
      <c r="W11" s="142"/>
      <c r="X11" s="142"/>
      <c r="Y11" s="145"/>
      <c r="Z11" s="146">
        <f t="shared" si="1"/>
        <v>30</v>
      </c>
      <c r="AA11" s="147">
        <f t="shared" si="2"/>
        <v>370</v>
      </c>
    </row>
    <row r="12">
      <c r="A12" s="128">
        <v>10.0</v>
      </c>
      <c r="B12" s="129" t="s">
        <v>121</v>
      </c>
      <c r="C12" s="129" t="s">
        <v>122</v>
      </c>
      <c r="D12" s="129" t="s">
        <v>123</v>
      </c>
      <c r="E12" s="131">
        <v>1.723937551E9</v>
      </c>
      <c r="F12" s="128">
        <v>9.94779113E8</v>
      </c>
      <c r="G12" s="129" t="s">
        <v>124</v>
      </c>
      <c r="H12" s="129"/>
      <c r="I12" s="133" t="s">
        <v>65</v>
      </c>
      <c r="J12" s="134" t="s">
        <v>93</v>
      </c>
      <c r="K12" s="135">
        <v>450.0</v>
      </c>
      <c r="L12" s="148">
        <v>80.0</v>
      </c>
      <c r="M12" s="137">
        <v>46111.0</v>
      </c>
      <c r="N12" s="152"/>
      <c r="O12" s="151"/>
      <c r="P12" s="139"/>
      <c r="Q12" s="140"/>
      <c r="R12" s="141"/>
      <c r="S12" s="142"/>
      <c r="T12" s="143"/>
      <c r="U12" s="144"/>
      <c r="V12" s="142"/>
      <c r="W12" s="142"/>
      <c r="X12" s="142"/>
      <c r="Y12" s="145"/>
      <c r="Z12" s="146">
        <f t="shared" si="1"/>
        <v>80</v>
      </c>
      <c r="AA12" s="147">
        <f t="shared" si="2"/>
        <v>370</v>
      </c>
    </row>
    <row r="13">
      <c r="A13" s="128">
        <v>11.0</v>
      </c>
      <c r="B13" s="129" t="s">
        <v>121</v>
      </c>
      <c r="C13" s="129" t="s">
        <v>125</v>
      </c>
      <c r="D13" s="129" t="s">
        <v>126</v>
      </c>
      <c r="E13" s="131">
        <v>1.716690712E9</v>
      </c>
      <c r="F13" s="128">
        <v>9.92902804E8</v>
      </c>
      <c r="G13" s="129" t="s">
        <v>127</v>
      </c>
      <c r="H13" s="129"/>
      <c r="I13" s="133" t="s">
        <v>65</v>
      </c>
      <c r="J13" s="134" t="s">
        <v>93</v>
      </c>
      <c r="K13" s="135">
        <v>450.0</v>
      </c>
      <c r="L13" s="148">
        <v>80.0</v>
      </c>
      <c r="M13" s="137">
        <v>46111.0</v>
      </c>
      <c r="N13" s="152"/>
      <c r="O13" s="151"/>
      <c r="P13" s="139"/>
      <c r="Q13" s="140"/>
      <c r="R13" s="141"/>
      <c r="S13" s="142"/>
      <c r="T13" s="143"/>
      <c r="U13" s="144"/>
      <c r="V13" s="142"/>
      <c r="W13" s="142"/>
      <c r="X13" s="142"/>
      <c r="Y13" s="145"/>
      <c r="Z13" s="146">
        <f t="shared" si="1"/>
        <v>80</v>
      </c>
      <c r="AA13" s="147">
        <f t="shared" si="2"/>
        <v>370</v>
      </c>
    </row>
    <row r="14">
      <c r="A14" s="128">
        <v>12.0</v>
      </c>
      <c r="B14" s="153" t="s">
        <v>121</v>
      </c>
      <c r="C14" s="153" t="s">
        <v>128</v>
      </c>
      <c r="D14" s="153" t="s">
        <v>129</v>
      </c>
      <c r="E14" s="154">
        <v>1.05507024E8</v>
      </c>
      <c r="F14" s="155">
        <v>9.84899994E8</v>
      </c>
      <c r="G14" s="153" t="s">
        <v>130</v>
      </c>
      <c r="H14" s="153"/>
      <c r="I14" s="156" t="s">
        <v>131</v>
      </c>
      <c r="J14" s="134" t="s">
        <v>93</v>
      </c>
      <c r="K14" s="157">
        <v>400.0</v>
      </c>
      <c r="L14" s="158">
        <v>400.0</v>
      </c>
      <c r="M14" s="159">
        <v>46111.0</v>
      </c>
      <c r="N14" s="160"/>
      <c r="O14" s="161"/>
      <c r="P14" s="162"/>
      <c r="Q14" s="153"/>
      <c r="R14" s="163"/>
      <c r="S14" s="163"/>
      <c r="T14" s="164"/>
      <c r="U14" s="165"/>
      <c r="V14" s="163"/>
      <c r="W14" s="163"/>
      <c r="X14" s="163"/>
      <c r="Y14" s="161"/>
      <c r="Z14" s="162">
        <f t="shared" si="1"/>
        <v>400</v>
      </c>
      <c r="AA14" s="166">
        <f t="shared" si="2"/>
        <v>0</v>
      </c>
    </row>
    <row r="15">
      <c r="A15" s="128">
        <v>13.0</v>
      </c>
      <c r="B15" s="129" t="s">
        <v>132</v>
      </c>
      <c r="C15" s="129" t="s">
        <v>133</v>
      </c>
      <c r="D15" s="129" t="s">
        <v>134</v>
      </c>
      <c r="E15" s="131">
        <v>9.25543126E8</v>
      </c>
      <c r="F15" s="128">
        <v>9.79512861E8</v>
      </c>
      <c r="G15" s="129" t="s">
        <v>135</v>
      </c>
      <c r="H15" s="129"/>
      <c r="I15" s="133" t="s">
        <v>98</v>
      </c>
      <c r="J15" s="134" t="s">
        <v>93</v>
      </c>
      <c r="K15" s="135">
        <v>400.0</v>
      </c>
      <c r="L15" s="148">
        <v>80.0</v>
      </c>
      <c r="M15" s="137">
        <v>46108.0</v>
      </c>
      <c r="N15" s="128"/>
      <c r="O15" s="151"/>
      <c r="P15" s="139"/>
      <c r="Q15" s="140"/>
      <c r="R15" s="141"/>
      <c r="S15" s="142"/>
      <c r="T15" s="143"/>
      <c r="U15" s="144"/>
      <c r="V15" s="142"/>
      <c r="W15" s="142"/>
      <c r="X15" s="142"/>
      <c r="Y15" s="145"/>
      <c r="Z15" s="146">
        <f t="shared" si="1"/>
        <v>80</v>
      </c>
      <c r="AA15" s="147">
        <f t="shared" si="2"/>
        <v>320</v>
      </c>
    </row>
    <row r="16">
      <c r="A16" s="128">
        <v>14.0</v>
      </c>
      <c r="B16" s="140" t="s">
        <v>136</v>
      </c>
      <c r="C16" s="140" t="s">
        <v>137</v>
      </c>
      <c r="D16" s="129" t="s">
        <v>138</v>
      </c>
      <c r="E16" s="131">
        <v>7.06437837E8</v>
      </c>
      <c r="F16" s="128">
        <v>9.3905565E8</v>
      </c>
      <c r="G16" s="129" t="s">
        <v>139</v>
      </c>
      <c r="H16" s="129"/>
      <c r="I16" s="133" t="s">
        <v>140</v>
      </c>
      <c r="J16" s="134" t="s">
        <v>93</v>
      </c>
      <c r="K16" s="135">
        <v>400.0</v>
      </c>
      <c r="L16" s="148">
        <v>80.0</v>
      </c>
      <c r="M16" s="137">
        <v>46118.0</v>
      </c>
      <c r="N16" s="128"/>
      <c r="O16" s="151"/>
      <c r="P16" s="139"/>
      <c r="Q16" s="140"/>
      <c r="R16" s="141"/>
      <c r="S16" s="142"/>
      <c r="T16" s="143"/>
      <c r="U16" s="144"/>
      <c r="V16" s="142"/>
      <c r="W16" s="142"/>
      <c r="X16" s="142"/>
      <c r="Y16" s="145"/>
      <c r="Z16" s="146">
        <f t="shared" si="1"/>
        <v>80</v>
      </c>
      <c r="AA16" s="147">
        <f t="shared" si="2"/>
        <v>320</v>
      </c>
    </row>
    <row r="17">
      <c r="A17" s="128">
        <v>15.0</v>
      </c>
      <c r="B17" s="129" t="s">
        <v>132</v>
      </c>
      <c r="C17" s="129" t="s">
        <v>141</v>
      </c>
      <c r="D17" s="129" t="s">
        <v>142</v>
      </c>
      <c r="E17" s="131">
        <v>9.52035483E8</v>
      </c>
      <c r="F17" s="128">
        <v>9.98760764E8</v>
      </c>
      <c r="G17" s="129" t="s">
        <v>143</v>
      </c>
      <c r="H17" s="129"/>
      <c r="I17" s="133" t="s">
        <v>98</v>
      </c>
      <c r="J17" s="134" t="s">
        <v>93</v>
      </c>
      <c r="K17" s="135">
        <v>450.0</v>
      </c>
      <c r="L17" s="150">
        <v>50.0</v>
      </c>
      <c r="M17" s="137">
        <v>46119.0</v>
      </c>
      <c r="N17" s="128"/>
      <c r="O17" s="151"/>
      <c r="P17" s="139"/>
      <c r="Q17" s="140"/>
      <c r="R17" s="141"/>
      <c r="S17" s="142"/>
      <c r="T17" s="143"/>
      <c r="U17" s="144"/>
      <c r="V17" s="142"/>
      <c r="W17" s="142"/>
      <c r="X17" s="142"/>
      <c r="Y17" s="145"/>
      <c r="Z17" s="146">
        <f t="shared" si="1"/>
        <v>50</v>
      </c>
      <c r="AA17" s="147">
        <f t="shared" si="2"/>
        <v>400</v>
      </c>
    </row>
    <row r="18">
      <c r="A18" s="128">
        <v>16.0</v>
      </c>
      <c r="B18" s="129" t="s">
        <v>144</v>
      </c>
      <c r="C18" s="129" t="s">
        <v>145</v>
      </c>
      <c r="D18" s="129" t="s">
        <v>146</v>
      </c>
      <c r="E18" s="131">
        <v>1.756156392E9</v>
      </c>
      <c r="F18" s="128">
        <v>9.83410027E8</v>
      </c>
      <c r="G18" s="129" t="s">
        <v>147</v>
      </c>
      <c r="H18" s="129"/>
      <c r="I18" s="133" t="s">
        <v>148</v>
      </c>
      <c r="J18" s="134" t="s">
        <v>93</v>
      </c>
      <c r="K18" s="135">
        <v>400.0</v>
      </c>
      <c r="L18" s="136">
        <v>80.0</v>
      </c>
      <c r="M18" s="137">
        <v>46121.0</v>
      </c>
      <c r="N18" s="129"/>
      <c r="O18" s="151"/>
      <c r="P18" s="139"/>
      <c r="Q18" s="140"/>
      <c r="R18" s="141"/>
      <c r="S18" s="142"/>
      <c r="T18" s="143"/>
      <c r="U18" s="144"/>
      <c r="V18" s="142"/>
      <c r="W18" s="142"/>
      <c r="X18" s="142"/>
      <c r="Y18" s="145"/>
      <c r="Z18" s="146">
        <f t="shared" si="1"/>
        <v>80</v>
      </c>
      <c r="AA18" s="147">
        <f t="shared" si="2"/>
        <v>320</v>
      </c>
    </row>
    <row r="19">
      <c r="A19" s="128">
        <v>17.0</v>
      </c>
      <c r="B19" s="129" t="s">
        <v>144</v>
      </c>
      <c r="C19" s="129" t="s">
        <v>149</v>
      </c>
      <c r="D19" s="129" t="s">
        <v>150</v>
      </c>
      <c r="E19" s="131">
        <v>1.723468219E9</v>
      </c>
      <c r="F19" s="128">
        <v>9.92167707E8</v>
      </c>
      <c r="G19" s="129" t="s">
        <v>151</v>
      </c>
      <c r="H19" s="129"/>
      <c r="I19" s="167" t="s">
        <v>148</v>
      </c>
      <c r="J19" s="134" t="s">
        <v>93</v>
      </c>
      <c r="K19" s="135">
        <v>400.0</v>
      </c>
      <c r="L19" s="136">
        <v>80.0</v>
      </c>
      <c r="M19" s="137">
        <v>46120.0</v>
      </c>
      <c r="N19" s="129"/>
      <c r="O19" s="138"/>
      <c r="P19" s="139"/>
      <c r="Q19" s="140"/>
      <c r="R19" s="141"/>
      <c r="S19" s="142"/>
      <c r="T19" s="143"/>
      <c r="U19" s="144"/>
      <c r="V19" s="142"/>
      <c r="W19" s="142"/>
      <c r="X19" s="142"/>
      <c r="Y19" s="145"/>
      <c r="Z19" s="146">
        <f t="shared" si="1"/>
        <v>80</v>
      </c>
      <c r="AA19" s="147">
        <f t="shared" si="2"/>
        <v>320</v>
      </c>
    </row>
    <row r="20">
      <c r="A20" s="128">
        <v>18.0</v>
      </c>
      <c r="B20" s="153" t="s">
        <v>84</v>
      </c>
      <c r="C20" s="153" t="s">
        <v>152</v>
      </c>
      <c r="D20" s="168" t="s">
        <v>153</v>
      </c>
      <c r="E20" s="154">
        <v>8.02403493E8</v>
      </c>
      <c r="F20" s="155">
        <v>5.93992019713E11</v>
      </c>
      <c r="G20" s="153" t="s">
        <v>154</v>
      </c>
      <c r="H20" s="153"/>
      <c r="I20" s="169" t="s">
        <v>155</v>
      </c>
      <c r="J20" s="134" t="s">
        <v>93</v>
      </c>
      <c r="K20" s="157">
        <v>60.0</v>
      </c>
      <c r="L20" s="170">
        <v>60.0</v>
      </c>
      <c r="M20" s="159">
        <v>46090.0</v>
      </c>
      <c r="N20" s="153"/>
      <c r="O20" s="156"/>
      <c r="P20" s="162"/>
      <c r="Q20" s="163"/>
      <c r="R20" s="163"/>
      <c r="S20" s="159"/>
      <c r="T20" s="171"/>
      <c r="U20" s="172"/>
      <c r="V20" s="163"/>
      <c r="W20" s="163"/>
      <c r="X20" s="163"/>
      <c r="Y20" s="161"/>
      <c r="Z20" s="162">
        <f t="shared" si="1"/>
        <v>60</v>
      </c>
      <c r="AA20" s="166">
        <f t="shared" si="2"/>
        <v>0</v>
      </c>
    </row>
    <row r="21">
      <c r="A21" s="128">
        <v>19.0</v>
      </c>
      <c r="O21" s="173"/>
      <c r="P21" s="173"/>
      <c r="Q21" s="173"/>
      <c r="R21" s="173"/>
    </row>
    <row r="22">
      <c r="A22" s="128">
        <v>20.0</v>
      </c>
      <c r="O22" s="173"/>
      <c r="P22" s="173"/>
      <c r="Q22" s="173"/>
      <c r="R22" s="173"/>
    </row>
    <row r="23">
      <c r="A23" s="128">
        <v>21.0</v>
      </c>
      <c r="C23" s="174"/>
      <c r="D23" s="174"/>
      <c r="X23" s="175"/>
      <c r="Y23" s="175"/>
      <c r="Z23" s="176"/>
      <c r="AA23" s="174"/>
    </row>
    <row r="24">
      <c r="A24" s="128">
        <v>22.0</v>
      </c>
      <c r="O24" s="173"/>
      <c r="P24" s="173"/>
      <c r="Q24" s="173"/>
      <c r="R24" s="173"/>
    </row>
    <row r="25">
      <c r="A25" s="128">
        <v>23.0</v>
      </c>
    </row>
    <row r="26">
      <c r="A26" s="128">
        <v>24.0</v>
      </c>
    </row>
    <row r="27">
      <c r="A27" s="128">
        <v>25.0</v>
      </c>
    </row>
    <row r="28">
      <c r="A28" s="128">
        <v>26.0</v>
      </c>
    </row>
    <row r="29">
      <c r="A29" s="128">
        <v>27.0</v>
      </c>
    </row>
    <row r="30">
      <c r="A30" s="128">
        <v>28.0</v>
      </c>
    </row>
    <row r="31">
      <c r="A31" s="128">
        <v>29.0</v>
      </c>
    </row>
    <row r="32">
      <c r="A32" s="128">
        <v>30.0</v>
      </c>
    </row>
    <row r="33">
      <c r="A33" s="128">
        <v>31.0</v>
      </c>
    </row>
    <row r="34">
      <c r="A34" s="128">
        <v>32.0</v>
      </c>
    </row>
    <row r="35">
      <c r="A35" s="128">
        <v>33.0</v>
      </c>
    </row>
  </sheetData>
  <mergeCells count="6">
    <mergeCell ref="A1:F1"/>
    <mergeCell ref="J1:K1"/>
    <mergeCell ref="L1:O1"/>
    <mergeCell ref="P1:T1"/>
    <mergeCell ref="U1:Y1"/>
    <mergeCell ref="Z1:AA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15.0"/>
    <col customWidth="1" min="4" max="4" width="14.88"/>
    <col customWidth="1" min="7" max="7" width="21.0"/>
    <col customWidth="1" min="8" max="8" width="7.38"/>
    <col customWidth="1" min="9" max="9" width="8.75"/>
    <col customWidth="1" min="12" max="13" width="8.88"/>
    <col customWidth="1" min="14" max="14" width="10.75"/>
    <col customWidth="1" min="15" max="15" width="5.88"/>
    <col customWidth="1" min="16" max="16" width="8.5"/>
    <col customWidth="1" min="17" max="17" width="7.88"/>
    <col customWidth="1" min="18" max="18" width="2.75"/>
    <col customWidth="1" min="19" max="19" width="10.0"/>
    <col customWidth="1" min="20" max="20" width="4.75"/>
  </cols>
  <sheetData>
    <row r="1">
      <c r="A1" s="177"/>
      <c r="B1" s="2"/>
      <c r="C1" s="2"/>
      <c r="D1" s="2"/>
      <c r="E1" s="2"/>
      <c r="F1" s="2"/>
      <c r="G1" s="178"/>
      <c r="H1" s="178"/>
      <c r="I1" s="179"/>
      <c r="J1" s="180" t="s">
        <v>0</v>
      </c>
      <c r="K1" s="2"/>
      <c r="L1" s="180" t="s">
        <v>1</v>
      </c>
      <c r="M1" s="2"/>
      <c r="N1" s="2"/>
      <c r="O1" s="6"/>
      <c r="P1" s="181" t="s">
        <v>2</v>
      </c>
      <c r="Q1" s="8"/>
      <c r="R1" s="8"/>
      <c r="S1" s="8"/>
      <c r="T1" s="9"/>
      <c r="U1" s="182" t="s">
        <v>3</v>
      </c>
      <c r="V1" s="11"/>
    </row>
    <row r="2">
      <c r="A2" s="111" t="s">
        <v>4</v>
      </c>
      <c r="B2" s="112" t="s">
        <v>5</v>
      </c>
      <c r="C2" s="113" t="s">
        <v>6</v>
      </c>
      <c r="D2" s="113" t="s">
        <v>7</v>
      </c>
      <c r="E2" s="111" t="s">
        <v>8</v>
      </c>
      <c r="F2" s="111" t="s">
        <v>9</v>
      </c>
      <c r="G2" s="112" t="s">
        <v>10</v>
      </c>
      <c r="H2" s="112" t="s">
        <v>11</v>
      </c>
      <c r="I2" s="114" t="s">
        <v>12</v>
      </c>
      <c r="J2" s="115" t="s">
        <v>13</v>
      </c>
      <c r="K2" s="116" t="s">
        <v>0</v>
      </c>
      <c r="L2" s="117" t="s">
        <v>14</v>
      </c>
      <c r="M2" s="112" t="s">
        <v>15</v>
      </c>
      <c r="N2" s="112" t="s">
        <v>16</v>
      </c>
      <c r="O2" s="119" t="s">
        <v>17</v>
      </c>
      <c r="P2" s="120" t="s">
        <v>18</v>
      </c>
      <c r="Q2" s="121" t="s">
        <v>19</v>
      </c>
      <c r="R2" s="122" t="s">
        <v>20</v>
      </c>
      <c r="S2" s="118" t="s">
        <v>21</v>
      </c>
      <c r="T2" s="123" t="s">
        <v>22</v>
      </c>
      <c r="U2" s="126" t="s">
        <v>23</v>
      </c>
      <c r="V2" s="127" t="s">
        <v>24</v>
      </c>
    </row>
    <row r="3">
      <c r="A3" s="183">
        <v>1.0</v>
      </c>
      <c r="B3" s="183" t="s">
        <v>84</v>
      </c>
      <c r="C3" s="183" t="s">
        <v>156</v>
      </c>
      <c r="D3" s="184" t="s">
        <v>157</v>
      </c>
      <c r="E3" s="185">
        <v>2.01988136E8</v>
      </c>
      <c r="F3" s="183">
        <v>5.93999226572E11</v>
      </c>
      <c r="G3" s="183" t="s">
        <v>158</v>
      </c>
      <c r="H3" s="183"/>
      <c r="I3" s="186" t="s">
        <v>159</v>
      </c>
      <c r="J3" s="134" t="s">
        <v>93</v>
      </c>
      <c r="K3" s="187">
        <v>75.0</v>
      </c>
      <c r="L3" s="188">
        <v>75.0</v>
      </c>
      <c r="M3" s="189">
        <v>46107.0</v>
      </c>
      <c r="N3" s="183">
        <v>3.0719091E7</v>
      </c>
      <c r="O3" s="190"/>
      <c r="P3" s="191"/>
      <c r="Q3" s="192"/>
      <c r="R3" s="192"/>
      <c r="S3" s="183"/>
      <c r="T3" s="193"/>
      <c r="U3" s="194">
        <f t="shared" ref="U3:U16" si="1">L3+P3</f>
        <v>75</v>
      </c>
      <c r="V3" s="195">
        <f t="shared" ref="V3:V16" si="2">K3-U3</f>
        <v>0</v>
      </c>
    </row>
    <row r="4">
      <c r="A4" s="183">
        <v>2.0</v>
      </c>
      <c r="B4" s="183" t="s">
        <v>84</v>
      </c>
      <c r="C4" s="183" t="s">
        <v>160</v>
      </c>
      <c r="D4" s="183" t="s">
        <v>161</v>
      </c>
      <c r="E4" s="185">
        <v>2.200050983E9</v>
      </c>
      <c r="F4" s="183">
        <v>9.98086638E8</v>
      </c>
      <c r="G4" s="183" t="s">
        <v>162</v>
      </c>
      <c r="H4" s="183"/>
      <c r="I4" s="186" t="s">
        <v>159</v>
      </c>
      <c r="J4" s="134" t="s">
        <v>93</v>
      </c>
      <c r="K4" s="187">
        <v>75.0</v>
      </c>
      <c r="L4" s="188">
        <v>75.0</v>
      </c>
      <c r="M4" s="189">
        <v>46113.0</v>
      </c>
      <c r="N4" s="183">
        <v>2.0641948E7</v>
      </c>
      <c r="O4" s="190"/>
      <c r="P4" s="191"/>
      <c r="Q4" s="192"/>
      <c r="R4" s="192"/>
      <c r="S4" s="183"/>
      <c r="T4" s="193"/>
      <c r="U4" s="194">
        <f t="shared" si="1"/>
        <v>75</v>
      </c>
      <c r="V4" s="195">
        <f t="shared" si="2"/>
        <v>0</v>
      </c>
    </row>
    <row r="5">
      <c r="A5" s="183">
        <v>3.0</v>
      </c>
      <c r="B5" s="196" t="s">
        <v>74</v>
      </c>
      <c r="C5" s="183" t="s">
        <v>163</v>
      </c>
      <c r="D5" s="183" t="s">
        <v>164</v>
      </c>
      <c r="E5" s="185">
        <v>7.04659614E8</v>
      </c>
      <c r="F5" s="183">
        <v>9.80796839E8</v>
      </c>
      <c r="G5" s="183" t="s">
        <v>165</v>
      </c>
      <c r="H5" s="183"/>
      <c r="I5" s="186" t="s">
        <v>159</v>
      </c>
      <c r="J5" s="134" t="s">
        <v>93</v>
      </c>
      <c r="K5" s="187">
        <v>75.0</v>
      </c>
      <c r="L5" s="188">
        <v>75.0</v>
      </c>
      <c r="M5" s="189">
        <v>46083.0</v>
      </c>
      <c r="N5" s="183">
        <v>2.0462496E7</v>
      </c>
      <c r="O5" s="190"/>
      <c r="P5" s="191"/>
      <c r="Q5" s="192"/>
      <c r="R5" s="192"/>
      <c r="S5" s="197"/>
      <c r="T5" s="193"/>
      <c r="U5" s="194">
        <f t="shared" si="1"/>
        <v>75</v>
      </c>
      <c r="V5" s="195">
        <f t="shared" si="2"/>
        <v>0</v>
      </c>
    </row>
    <row r="6">
      <c r="A6" s="183">
        <v>4.0</v>
      </c>
      <c r="B6" s="183" t="s">
        <v>84</v>
      </c>
      <c r="C6" s="183" t="s">
        <v>166</v>
      </c>
      <c r="D6" s="183" t="s">
        <v>167</v>
      </c>
      <c r="E6" s="185">
        <v>8.0242613E8</v>
      </c>
      <c r="F6" s="183">
        <v>9.91688214E8</v>
      </c>
      <c r="G6" s="183" t="s">
        <v>168</v>
      </c>
      <c r="H6" s="183"/>
      <c r="I6" s="186" t="s">
        <v>159</v>
      </c>
      <c r="J6" s="134" t="s">
        <v>93</v>
      </c>
      <c r="K6" s="187">
        <v>75.0</v>
      </c>
      <c r="L6" s="188">
        <v>30.0</v>
      </c>
      <c r="M6" s="189">
        <v>46083.0</v>
      </c>
      <c r="N6" s="183">
        <v>4.2880928E7</v>
      </c>
      <c r="O6" s="190"/>
      <c r="P6" s="191"/>
      <c r="Q6" s="192"/>
      <c r="R6" s="192"/>
      <c r="S6" s="183"/>
      <c r="T6" s="193"/>
      <c r="U6" s="194">
        <f t="shared" si="1"/>
        <v>30</v>
      </c>
      <c r="V6" s="195">
        <f t="shared" si="2"/>
        <v>45</v>
      </c>
    </row>
    <row r="7">
      <c r="A7" s="183">
        <v>5.0</v>
      </c>
      <c r="B7" s="183" t="s">
        <v>169</v>
      </c>
      <c r="C7" s="183" t="s">
        <v>170</v>
      </c>
      <c r="D7" s="184" t="s">
        <v>171</v>
      </c>
      <c r="E7" s="185">
        <v>7.01843062E8</v>
      </c>
      <c r="F7" s="183" t="s">
        <v>172</v>
      </c>
      <c r="G7" s="183" t="s">
        <v>173</v>
      </c>
      <c r="H7" s="183"/>
      <c r="I7" s="186" t="s">
        <v>159</v>
      </c>
      <c r="J7" s="134" t="s">
        <v>93</v>
      </c>
      <c r="K7" s="187">
        <v>75.0</v>
      </c>
      <c r="L7" s="188">
        <v>30.0</v>
      </c>
      <c r="M7" s="189">
        <v>46086.0</v>
      </c>
      <c r="N7" s="183">
        <v>2.203830471E9</v>
      </c>
      <c r="O7" s="190"/>
      <c r="P7" s="191"/>
      <c r="Q7" s="192"/>
      <c r="R7" s="192"/>
      <c r="S7" s="197"/>
      <c r="T7" s="193"/>
      <c r="U7" s="194">
        <f t="shared" si="1"/>
        <v>30</v>
      </c>
      <c r="V7" s="195">
        <f t="shared" si="2"/>
        <v>45</v>
      </c>
    </row>
    <row r="8">
      <c r="A8" s="183">
        <v>6.0</v>
      </c>
      <c r="B8" s="183" t="s">
        <v>169</v>
      </c>
      <c r="C8" s="183" t="s">
        <v>174</v>
      </c>
      <c r="D8" s="183" t="s">
        <v>175</v>
      </c>
      <c r="E8" s="185">
        <v>9.31472476E8</v>
      </c>
      <c r="F8" s="183" t="s">
        <v>176</v>
      </c>
      <c r="G8" s="183" t="s">
        <v>177</v>
      </c>
      <c r="H8" s="183"/>
      <c r="I8" s="186" t="s">
        <v>159</v>
      </c>
      <c r="J8" s="134" t="s">
        <v>93</v>
      </c>
      <c r="K8" s="187">
        <v>75.0</v>
      </c>
      <c r="L8" s="188">
        <v>75.0</v>
      </c>
      <c r="M8" s="189">
        <v>46092.0</v>
      </c>
      <c r="N8" s="183" t="s">
        <v>178</v>
      </c>
      <c r="O8" s="190"/>
      <c r="P8" s="191"/>
      <c r="Q8" s="192"/>
      <c r="R8" s="192"/>
      <c r="S8" s="197"/>
      <c r="T8" s="193"/>
      <c r="U8" s="194">
        <f t="shared" si="1"/>
        <v>75</v>
      </c>
      <c r="V8" s="195">
        <f t="shared" si="2"/>
        <v>0</v>
      </c>
    </row>
    <row r="9">
      <c r="A9" s="183">
        <v>7.0</v>
      </c>
      <c r="B9" s="196" t="s">
        <v>179</v>
      </c>
      <c r="C9" s="183" t="s">
        <v>180</v>
      </c>
      <c r="D9" s="183" t="s">
        <v>181</v>
      </c>
      <c r="E9" s="185">
        <v>9.50843821E8</v>
      </c>
      <c r="F9" s="183">
        <v>5.93960252134E11</v>
      </c>
      <c r="G9" s="183" t="s">
        <v>182</v>
      </c>
      <c r="H9" s="183"/>
      <c r="I9" s="186" t="s">
        <v>159</v>
      </c>
      <c r="J9" s="134" t="s">
        <v>93</v>
      </c>
      <c r="K9" s="187">
        <v>75.0</v>
      </c>
      <c r="L9" s="188">
        <v>30.0</v>
      </c>
      <c r="M9" s="189">
        <v>46116.0</v>
      </c>
      <c r="N9" s="183">
        <v>1.1091021E7</v>
      </c>
      <c r="O9" s="190"/>
      <c r="P9" s="191"/>
      <c r="Q9" s="192"/>
      <c r="R9" s="192"/>
      <c r="S9" s="183"/>
      <c r="T9" s="193"/>
      <c r="U9" s="194">
        <f t="shared" si="1"/>
        <v>30</v>
      </c>
      <c r="V9" s="195">
        <f t="shared" si="2"/>
        <v>45</v>
      </c>
    </row>
    <row r="10">
      <c r="A10" s="183">
        <v>8.0</v>
      </c>
      <c r="B10" s="196" t="s">
        <v>183</v>
      </c>
      <c r="C10" s="183" t="s">
        <v>184</v>
      </c>
      <c r="D10" s="183" t="s">
        <v>185</v>
      </c>
      <c r="E10" s="185">
        <v>1.753035482E9</v>
      </c>
      <c r="F10" s="183">
        <v>9.68469497E8</v>
      </c>
      <c r="G10" s="183" t="s">
        <v>186</v>
      </c>
      <c r="H10" s="183"/>
      <c r="I10" s="186" t="s">
        <v>159</v>
      </c>
      <c r="J10" s="134" t="s">
        <v>93</v>
      </c>
      <c r="K10" s="187">
        <v>75.0</v>
      </c>
      <c r="L10" s="188">
        <v>75.0</v>
      </c>
      <c r="M10" s="189">
        <v>46119.0</v>
      </c>
      <c r="N10" s="183">
        <v>2.8720658E7</v>
      </c>
      <c r="O10" s="190"/>
      <c r="P10" s="191"/>
      <c r="Q10" s="192"/>
      <c r="R10" s="192"/>
      <c r="S10" s="197"/>
      <c r="T10" s="193"/>
      <c r="U10" s="194">
        <f t="shared" si="1"/>
        <v>75</v>
      </c>
      <c r="V10" s="195">
        <f t="shared" si="2"/>
        <v>0</v>
      </c>
    </row>
    <row r="11">
      <c r="A11" s="183">
        <v>9.0</v>
      </c>
      <c r="B11" s="196" t="s">
        <v>183</v>
      </c>
      <c r="C11" s="183" t="s">
        <v>187</v>
      </c>
      <c r="D11" s="183" t="s">
        <v>188</v>
      </c>
      <c r="E11" s="185">
        <v>9.40541774E8</v>
      </c>
      <c r="F11" s="183">
        <v>9.80865829E8</v>
      </c>
      <c r="G11" s="183" t="s">
        <v>189</v>
      </c>
      <c r="H11" s="183"/>
      <c r="I11" s="186" t="s">
        <v>159</v>
      </c>
      <c r="J11" s="134" t="s">
        <v>93</v>
      </c>
      <c r="K11" s="187">
        <v>75.0</v>
      </c>
      <c r="L11" s="188">
        <v>30.0</v>
      </c>
      <c r="M11" s="189">
        <v>46119.0</v>
      </c>
      <c r="N11" s="183">
        <v>4.8321646E7</v>
      </c>
      <c r="O11" s="190"/>
      <c r="P11" s="191"/>
      <c r="Q11" s="192"/>
      <c r="R11" s="192"/>
      <c r="S11" s="197"/>
      <c r="T11" s="193"/>
      <c r="U11" s="194">
        <f t="shared" si="1"/>
        <v>30</v>
      </c>
      <c r="V11" s="195">
        <f t="shared" si="2"/>
        <v>45</v>
      </c>
    </row>
    <row r="12">
      <c r="A12" s="183">
        <v>10.0</v>
      </c>
      <c r="B12" s="196" t="s">
        <v>183</v>
      </c>
      <c r="C12" s="183" t="s">
        <v>190</v>
      </c>
      <c r="D12" s="183" t="s">
        <v>191</v>
      </c>
      <c r="E12" s="185">
        <v>6.04041053E8</v>
      </c>
      <c r="F12" s="183">
        <v>9.87181236E8</v>
      </c>
      <c r="G12" s="183" t="s">
        <v>192</v>
      </c>
      <c r="H12" s="183"/>
      <c r="I12" s="186" t="s">
        <v>159</v>
      </c>
      <c r="J12" s="134" t="s">
        <v>93</v>
      </c>
      <c r="K12" s="187">
        <v>75.0</v>
      </c>
      <c r="L12" s="188">
        <v>75.0</v>
      </c>
      <c r="M12" s="189">
        <v>46119.0</v>
      </c>
      <c r="N12" s="183">
        <v>7.1567847E7</v>
      </c>
      <c r="O12" s="190"/>
      <c r="P12" s="191"/>
      <c r="Q12" s="192"/>
      <c r="R12" s="192"/>
      <c r="S12" s="197"/>
      <c r="T12" s="193"/>
      <c r="U12" s="194">
        <f t="shared" si="1"/>
        <v>75</v>
      </c>
      <c r="V12" s="195">
        <f t="shared" si="2"/>
        <v>0</v>
      </c>
    </row>
    <row r="13">
      <c r="A13" s="183">
        <v>11.0</v>
      </c>
      <c r="B13" s="183" t="s">
        <v>84</v>
      </c>
      <c r="C13" s="183" t="s">
        <v>193</v>
      </c>
      <c r="D13" s="183" t="s">
        <v>194</v>
      </c>
      <c r="E13" s="185">
        <v>1.805188842E9</v>
      </c>
      <c r="F13" s="183">
        <v>9.78901857E8</v>
      </c>
      <c r="G13" s="183" t="s">
        <v>195</v>
      </c>
      <c r="H13" s="183"/>
      <c r="I13" s="186" t="s">
        <v>159</v>
      </c>
      <c r="J13" s="134" t="s">
        <v>93</v>
      </c>
      <c r="K13" s="187">
        <v>75.0</v>
      </c>
      <c r="L13" s="188">
        <v>30.0</v>
      </c>
      <c r="M13" s="189">
        <v>46119.0</v>
      </c>
      <c r="N13" s="183">
        <v>5.623206E7</v>
      </c>
      <c r="O13" s="190"/>
      <c r="P13" s="191"/>
      <c r="Q13" s="192"/>
      <c r="R13" s="192"/>
      <c r="S13" s="183"/>
      <c r="T13" s="193"/>
      <c r="U13" s="198">
        <f t="shared" si="1"/>
        <v>30</v>
      </c>
      <c r="V13" s="199">
        <f t="shared" si="2"/>
        <v>45</v>
      </c>
    </row>
    <row r="14">
      <c r="A14" s="176">
        <v>12.0</v>
      </c>
      <c r="P14" s="173"/>
      <c r="U14" s="192">
        <f t="shared" si="1"/>
        <v>0</v>
      </c>
      <c r="V14" s="192">
        <f t="shared" si="2"/>
        <v>0</v>
      </c>
    </row>
    <row r="15">
      <c r="A15" s="176">
        <v>13.0</v>
      </c>
      <c r="U15" s="192">
        <f t="shared" si="1"/>
        <v>0</v>
      </c>
      <c r="V15" s="192">
        <f t="shared" si="2"/>
        <v>0</v>
      </c>
    </row>
    <row r="16">
      <c r="A16" s="176">
        <v>14.0</v>
      </c>
      <c r="U16" s="192">
        <f t="shared" si="1"/>
        <v>0</v>
      </c>
      <c r="V16" s="192">
        <f t="shared" si="2"/>
        <v>0</v>
      </c>
    </row>
  </sheetData>
  <mergeCells count="5">
    <mergeCell ref="A1:F1"/>
    <mergeCell ref="J1:K1"/>
    <mergeCell ref="L1:O1"/>
    <mergeCell ref="P1:T1"/>
    <mergeCell ref="U1:V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15.0"/>
    <col customWidth="1" min="4" max="4" width="14.88"/>
    <col customWidth="1" min="7" max="7" width="21.0"/>
    <col customWidth="1" min="8" max="8" width="7.38"/>
    <col customWidth="1" min="9" max="9" width="8.75"/>
    <col customWidth="1" min="12" max="13" width="8.88"/>
    <col customWidth="1" min="14" max="14" width="10.75"/>
    <col customWidth="1" min="15" max="15" width="5.88"/>
    <col customWidth="1" min="16" max="16" width="8.5"/>
    <col customWidth="1" min="17" max="17" width="7.88"/>
    <col customWidth="1" min="18" max="18" width="2.0"/>
    <col customWidth="1" min="19" max="19" width="10.0"/>
    <col customWidth="1" min="20" max="20" width="4.75"/>
  </cols>
  <sheetData>
    <row r="1">
      <c r="A1" s="1"/>
      <c r="B1" s="2"/>
      <c r="C1" s="2"/>
      <c r="D1" s="2"/>
      <c r="E1" s="2"/>
      <c r="F1" s="2"/>
      <c r="G1" s="3"/>
      <c r="H1" s="3"/>
      <c r="I1" s="4"/>
      <c r="J1" s="5" t="s">
        <v>0</v>
      </c>
      <c r="K1" s="2"/>
      <c r="L1" s="5" t="s">
        <v>1</v>
      </c>
      <c r="M1" s="2"/>
      <c r="N1" s="2"/>
      <c r="O1" s="6"/>
      <c r="P1" s="7" t="s">
        <v>2</v>
      </c>
      <c r="Q1" s="8"/>
      <c r="R1" s="8"/>
      <c r="S1" s="8"/>
      <c r="T1" s="9"/>
      <c r="U1" s="10" t="s">
        <v>3</v>
      </c>
      <c r="V1" s="11"/>
      <c r="W1" s="200"/>
    </row>
    <row r="2">
      <c r="A2" s="12" t="s">
        <v>4</v>
      </c>
      <c r="B2" s="13" t="s">
        <v>5</v>
      </c>
      <c r="C2" s="14" t="s">
        <v>6</v>
      </c>
      <c r="D2" s="14" t="s">
        <v>7</v>
      </c>
      <c r="E2" s="12" t="s">
        <v>8</v>
      </c>
      <c r="F2" s="12" t="s">
        <v>9</v>
      </c>
      <c r="G2" s="13" t="s">
        <v>10</v>
      </c>
      <c r="H2" s="13" t="s">
        <v>11</v>
      </c>
      <c r="I2" s="15" t="s">
        <v>12</v>
      </c>
      <c r="J2" s="16" t="s">
        <v>13</v>
      </c>
      <c r="K2" s="17" t="s">
        <v>0</v>
      </c>
      <c r="L2" s="18" t="s">
        <v>14</v>
      </c>
      <c r="M2" s="13" t="s">
        <v>15</v>
      </c>
      <c r="N2" s="13" t="s">
        <v>16</v>
      </c>
      <c r="O2" s="19" t="s">
        <v>17</v>
      </c>
      <c r="P2" s="20" t="s">
        <v>18</v>
      </c>
      <c r="Q2" s="21" t="s">
        <v>19</v>
      </c>
      <c r="R2" s="22" t="s">
        <v>20</v>
      </c>
      <c r="S2" s="23" t="s">
        <v>21</v>
      </c>
      <c r="T2" s="24" t="s">
        <v>22</v>
      </c>
      <c r="U2" s="25" t="s">
        <v>23</v>
      </c>
      <c r="V2" s="26" t="s">
        <v>24</v>
      </c>
      <c r="W2" s="201"/>
    </row>
    <row r="3">
      <c r="A3" s="176">
        <v>1.0</v>
      </c>
      <c r="B3" s="174" t="s">
        <v>84</v>
      </c>
      <c r="C3" s="174" t="s">
        <v>196</v>
      </c>
      <c r="D3" s="202" t="s">
        <v>197</v>
      </c>
      <c r="E3" s="203">
        <v>1.05922686E8</v>
      </c>
      <c r="F3" s="176">
        <v>9.90576207E8</v>
      </c>
      <c r="G3" s="174" t="s">
        <v>198</v>
      </c>
      <c r="H3" s="174" t="s">
        <v>69</v>
      </c>
      <c r="I3" s="174" t="s">
        <v>199</v>
      </c>
      <c r="J3" s="134" t="s">
        <v>93</v>
      </c>
      <c r="K3" s="204">
        <v>50.0</v>
      </c>
      <c r="L3" s="176">
        <v>50.0</v>
      </c>
      <c r="M3" s="175">
        <v>46113.0</v>
      </c>
      <c r="N3" s="176">
        <v>2.745650209E11</v>
      </c>
      <c r="O3" s="174"/>
    </row>
    <row r="4">
      <c r="A4" s="176">
        <v>2.0</v>
      </c>
      <c r="B4" s="174" t="s">
        <v>84</v>
      </c>
      <c r="C4" s="174" t="s">
        <v>200</v>
      </c>
      <c r="D4" s="174" t="s">
        <v>201</v>
      </c>
      <c r="E4" s="203">
        <v>2.00992543E8</v>
      </c>
      <c r="F4" s="176">
        <v>9.96383464E8</v>
      </c>
      <c r="G4" s="174" t="s">
        <v>202</v>
      </c>
      <c r="H4" s="174" t="s">
        <v>69</v>
      </c>
      <c r="I4" s="174"/>
      <c r="J4" s="134" t="s">
        <v>93</v>
      </c>
      <c r="K4" s="204">
        <v>60.0</v>
      </c>
      <c r="L4" s="176">
        <v>60.0</v>
      </c>
      <c r="M4" s="175">
        <v>46113.0</v>
      </c>
      <c r="N4" s="176">
        <v>9.2889723E8</v>
      </c>
      <c r="O4" s="174"/>
    </row>
    <row r="5">
      <c r="A5" s="176">
        <v>3.0</v>
      </c>
      <c r="B5" s="174" t="s">
        <v>84</v>
      </c>
      <c r="C5" s="174" t="s">
        <v>203</v>
      </c>
      <c r="D5" s="174" t="s">
        <v>204</v>
      </c>
      <c r="E5" s="203">
        <v>1.713830014E9</v>
      </c>
      <c r="F5" s="176">
        <v>9.9848257E8</v>
      </c>
      <c r="G5" s="174" t="s">
        <v>205</v>
      </c>
      <c r="H5" s="174" t="s">
        <v>69</v>
      </c>
      <c r="I5" s="174" t="s">
        <v>148</v>
      </c>
      <c r="J5" s="134" t="s">
        <v>93</v>
      </c>
      <c r="K5" s="204">
        <v>50.0</v>
      </c>
      <c r="L5" s="176">
        <v>50.0</v>
      </c>
      <c r="M5" s="175">
        <v>46113.0</v>
      </c>
      <c r="N5" s="176">
        <v>5.5722565E7</v>
      </c>
      <c r="O5" s="174"/>
    </row>
    <row r="6">
      <c r="A6" s="176">
        <v>4.0</v>
      </c>
      <c r="B6" s="174" t="s">
        <v>84</v>
      </c>
      <c r="C6" s="174" t="s">
        <v>206</v>
      </c>
      <c r="D6" s="174" t="s">
        <v>207</v>
      </c>
      <c r="E6" s="203">
        <v>1.805176326E9</v>
      </c>
      <c r="F6" s="176">
        <v>9.83114763E8</v>
      </c>
      <c r="G6" s="174" t="s">
        <v>208</v>
      </c>
      <c r="H6" s="174" t="s">
        <v>69</v>
      </c>
      <c r="I6" s="174" t="s">
        <v>209</v>
      </c>
      <c r="J6" s="134" t="s">
        <v>93</v>
      </c>
      <c r="K6" s="204">
        <v>50.0</v>
      </c>
      <c r="L6" s="176">
        <v>25.0</v>
      </c>
      <c r="M6" s="175">
        <v>46114.0</v>
      </c>
      <c r="N6" s="176">
        <v>1.6552926E7</v>
      </c>
      <c r="O6" s="174"/>
    </row>
    <row r="7">
      <c r="A7" s="176">
        <v>5.0</v>
      </c>
      <c r="B7" s="174" t="s">
        <v>84</v>
      </c>
      <c r="C7" s="174" t="s">
        <v>210</v>
      </c>
      <c r="D7" s="174" t="s">
        <v>211</v>
      </c>
      <c r="E7" s="203">
        <v>1.004041289E9</v>
      </c>
      <c r="F7" s="176">
        <v>9.84874741E8</v>
      </c>
      <c r="G7" s="174" t="s">
        <v>212</v>
      </c>
      <c r="H7" s="174" t="s">
        <v>69</v>
      </c>
      <c r="I7" s="174" t="s">
        <v>148</v>
      </c>
      <c r="J7" s="134" t="s">
        <v>93</v>
      </c>
      <c r="K7" s="204">
        <v>50.0</v>
      </c>
      <c r="L7" s="176">
        <v>50.0</v>
      </c>
      <c r="M7" s="175">
        <v>46118.0</v>
      </c>
      <c r="N7" s="176">
        <v>1.5446088E8</v>
      </c>
      <c r="O7" s="174"/>
    </row>
    <row r="8">
      <c r="A8" s="176">
        <v>6.0</v>
      </c>
      <c r="B8" s="174" t="s">
        <v>84</v>
      </c>
      <c r="C8" s="205" t="s">
        <v>213</v>
      </c>
      <c r="D8" s="174" t="s">
        <v>214</v>
      </c>
      <c r="E8" s="203">
        <v>5.03547374E8</v>
      </c>
      <c r="F8" s="176">
        <v>9.81402659E8</v>
      </c>
      <c r="G8" s="174" t="s">
        <v>215</v>
      </c>
      <c r="H8" s="174" t="s">
        <v>69</v>
      </c>
      <c r="I8" s="174" t="s">
        <v>148</v>
      </c>
      <c r="J8" s="134" t="s">
        <v>93</v>
      </c>
      <c r="K8" s="204">
        <v>50.0</v>
      </c>
      <c r="L8" s="176">
        <v>50.0</v>
      </c>
      <c r="M8" s="175">
        <v>46118.0</v>
      </c>
      <c r="N8" s="176">
        <v>1.61092866E8</v>
      </c>
      <c r="O8" s="174"/>
    </row>
  </sheetData>
  <mergeCells count="5">
    <mergeCell ref="A1:F1"/>
    <mergeCell ref="J1:K1"/>
    <mergeCell ref="L1:O1"/>
    <mergeCell ref="P1:T1"/>
    <mergeCell ref="U1:V1"/>
  </mergeCells>
  <drawing r:id="rId1"/>
</worksheet>
</file>